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lexa/Downloads/"/>
    </mc:Choice>
  </mc:AlternateContent>
  <xr:revisionPtr revIDLastSave="0" documentId="13_ncr:20001_{4F113E01-8CE6-C844-B931-1A3250A90889}" xr6:coauthVersionLast="47" xr6:coauthVersionMax="47" xr10:uidLastSave="{00000000-0000-0000-0000-000000000000}"/>
  <bookViews>
    <workbookView xWindow="0" yWindow="660" windowWidth="34560" windowHeight="20560" activeTab="6" xr2:uid="{00000000-000D-0000-FFFF-FFFF00000000}"/>
  </bookViews>
  <sheets>
    <sheet name="_validation" sheetId="13" r:id="rId1"/>
    <sheet name="People" sheetId="2" r:id="rId2"/>
    <sheet name="Projects" sheetId="4" r:id="rId3"/>
    <sheet name="Roles" sheetId="5" r:id="rId4"/>
    <sheet name="Units" sheetId="14" r:id="rId5"/>
    <sheet name="Enrollments" sheetId="15" r:id="rId6"/>
    <sheet name="ProjectAssignments" sheetId="7" r:id="rId7"/>
  </sheets>
  <definedNames>
    <definedName name="Advisors">#REF!</definedName>
    <definedName name="Faculty">#REF!</definedName>
    <definedName name="People" localSheetId="5">tblPeople[Name]</definedName>
    <definedName name="People">tblPeople[Name]</definedName>
    <definedName name="ProjectNames" localSheetId="5">tblProjects[Project Name]</definedName>
    <definedName name="ProjectNames">tblProjects[Project Name]</definedName>
    <definedName name="Units" localSheetId="5">tblUnits[Units]</definedName>
    <definedName name="Units">tblUnits[Units]</definedName>
    <definedName name="ValidRoles" localSheetId="5">tblRoles[Role Name]</definedName>
    <definedName name="ValidRoles">tblRoles[Role Name]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3" l="1" a="1"/>
  <c r="E2" i="13" s="1"/>
  <c r="C2" i="13" a="1"/>
  <c r="C2" i="13" s="1"/>
  <c r="A2" i="13" a="1"/>
  <c r="F205" i="15"/>
  <c r="E205" i="15"/>
  <c r="D205" i="15"/>
  <c r="F204" i="15"/>
  <c r="E204" i="15"/>
  <c r="D204" i="15"/>
  <c r="F203" i="15"/>
  <c r="E203" i="15"/>
  <c r="D203" i="15"/>
  <c r="F202" i="15"/>
  <c r="E202" i="15"/>
  <c r="D202" i="15"/>
  <c r="F201" i="15"/>
  <c r="E201" i="15"/>
  <c r="D201" i="15"/>
  <c r="F200" i="15"/>
  <c r="E200" i="15"/>
  <c r="D200" i="15"/>
  <c r="F199" i="15"/>
  <c r="E199" i="15"/>
  <c r="D199" i="15"/>
  <c r="F198" i="15"/>
  <c r="E198" i="15"/>
  <c r="D198" i="15"/>
  <c r="F197" i="15"/>
  <c r="E197" i="15"/>
  <c r="D197" i="15"/>
  <c r="F196" i="15"/>
  <c r="E196" i="15"/>
  <c r="D196" i="15"/>
  <c r="F195" i="15"/>
  <c r="E195" i="15"/>
  <c r="D195" i="15"/>
  <c r="F183" i="15"/>
  <c r="E183" i="15"/>
  <c r="D183" i="15"/>
  <c r="F164" i="15"/>
  <c r="E164" i="15"/>
  <c r="D164" i="15"/>
  <c r="F156" i="15"/>
  <c r="E156" i="15"/>
  <c r="D156" i="15"/>
  <c r="F134" i="15"/>
  <c r="E134" i="15"/>
  <c r="D134" i="15"/>
  <c r="F133" i="15"/>
  <c r="E133" i="15"/>
  <c r="D133" i="15"/>
  <c r="F119" i="15"/>
  <c r="E119" i="15"/>
  <c r="D119" i="15"/>
  <c r="F118" i="15"/>
  <c r="E118" i="15"/>
  <c r="D118" i="15"/>
  <c r="F114" i="15"/>
  <c r="E114" i="15"/>
  <c r="D114" i="15"/>
  <c r="F68" i="15"/>
  <c r="E68" i="15"/>
  <c r="D68" i="15"/>
  <c r="F63" i="15"/>
  <c r="E63" i="15"/>
  <c r="D63" i="15"/>
  <c r="F50" i="15"/>
  <c r="E50" i="15"/>
  <c r="D50" i="15"/>
  <c r="F11" i="15"/>
  <c r="E11" i="15"/>
  <c r="D11" i="15"/>
  <c r="F190" i="15"/>
  <c r="E190" i="15"/>
  <c r="D190" i="15"/>
  <c r="F187" i="15"/>
  <c r="E187" i="15"/>
  <c r="D187" i="15"/>
  <c r="F178" i="15"/>
  <c r="E178" i="15"/>
  <c r="D178" i="15"/>
  <c r="F177" i="15"/>
  <c r="E177" i="15"/>
  <c r="D177" i="15"/>
  <c r="F173" i="15"/>
  <c r="E173" i="15"/>
  <c r="D173" i="15"/>
  <c r="F162" i="15"/>
  <c r="E162" i="15"/>
  <c r="D162" i="15"/>
  <c r="F161" i="15"/>
  <c r="E161" i="15"/>
  <c r="D161" i="15"/>
  <c r="F158" i="15"/>
  <c r="E158" i="15"/>
  <c r="D158" i="15"/>
  <c r="F154" i="15"/>
  <c r="E154" i="15"/>
  <c r="D154" i="15"/>
  <c r="F151" i="15"/>
  <c r="E151" i="15"/>
  <c r="D151" i="15"/>
  <c r="F148" i="15"/>
  <c r="E148" i="15"/>
  <c r="D148" i="15"/>
  <c r="F139" i="15"/>
  <c r="E139" i="15"/>
  <c r="D139" i="15"/>
  <c r="F122" i="15"/>
  <c r="E122" i="15"/>
  <c r="D122" i="15"/>
  <c r="F121" i="15"/>
  <c r="E121" i="15"/>
  <c r="D121" i="15"/>
  <c r="F111" i="15"/>
  <c r="E111" i="15"/>
  <c r="D111" i="15"/>
  <c r="F110" i="15"/>
  <c r="E110" i="15"/>
  <c r="D110" i="15"/>
  <c r="F95" i="15"/>
  <c r="E95" i="15"/>
  <c r="D95" i="15"/>
  <c r="F74" i="15"/>
  <c r="E74" i="15"/>
  <c r="D74" i="15"/>
  <c r="F71" i="15"/>
  <c r="E71" i="15"/>
  <c r="D71" i="15"/>
  <c r="F70" i="15"/>
  <c r="E70" i="15"/>
  <c r="D70" i="15"/>
  <c r="F67" i="15"/>
  <c r="E67" i="15"/>
  <c r="D67" i="15"/>
  <c r="F40" i="15"/>
  <c r="E40" i="15"/>
  <c r="D40" i="15"/>
  <c r="F39" i="15"/>
  <c r="E39" i="15"/>
  <c r="D39" i="15"/>
  <c r="F26" i="15"/>
  <c r="E26" i="15"/>
  <c r="D26" i="15"/>
  <c r="F25" i="15"/>
  <c r="E25" i="15"/>
  <c r="D25" i="15"/>
  <c r="F36" i="15"/>
  <c r="E36" i="15"/>
  <c r="D36" i="15"/>
  <c r="F23" i="15"/>
  <c r="E23" i="15"/>
  <c r="D23" i="15"/>
  <c r="F188" i="15"/>
  <c r="E188" i="15"/>
  <c r="D188" i="15"/>
  <c r="F58" i="15"/>
  <c r="E58" i="15"/>
  <c r="D58" i="15"/>
  <c r="F167" i="15"/>
  <c r="E167" i="15"/>
  <c r="D167" i="15"/>
  <c r="F115" i="15"/>
  <c r="E115" i="15"/>
  <c r="D115" i="15"/>
  <c r="F117" i="15"/>
  <c r="E117" i="15"/>
  <c r="D117" i="15"/>
  <c r="F31" i="15"/>
  <c r="E31" i="15"/>
  <c r="D31" i="15"/>
  <c r="F194" i="15"/>
  <c r="E194" i="15"/>
  <c r="D194" i="15"/>
  <c r="F193" i="15"/>
  <c r="E193" i="15"/>
  <c r="D193" i="15"/>
  <c r="F192" i="15"/>
  <c r="E192" i="15"/>
  <c r="D192" i="15"/>
  <c r="F191" i="15"/>
  <c r="E191" i="15"/>
  <c r="D191" i="15"/>
  <c r="F189" i="15"/>
  <c r="E189" i="15"/>
  <c r="D189" i="15"/>
  <c r="F186" i="15"/>
  <c r="E186" i="15"/>
  <c r="D186" i="15"/>
  <c r="F185" i="15"/>
  <c r="E185" i="15"/>
  <c r="D185" i="15"/>
  <c r="F184" i="15"/>
  <c r="E184" i="15"/>
  <c r="D184" i="15"/>
  <c r="F182" i="15"/>
  <c r="E182" i="15"/>
  <c r="D182" i="15"/>
  <c r="F181" i="15"/>
  <c r="E181" i="15"/>
  <c r="D181" i="15"/>
  <c r="F180" i="15"/>
  <c r="E180" i="15"/>
  <c r="D180" i="15"/>
  <c r="F179" i="15"/>
  <c r="E179" i="15"/>
  <c r="D179" i="15"/>
  <c r="F176" i="15"/>
  <c r="E176" i="15"/>
  <c r="D176" i="15"/>
  <c r="F175" i="15"/>
  <c r="E175" i="15"/>
  <c r="D175" i="15"/>
  <c r="F174" i="15"/>
  <c r="E174" i="15"/>
  <c r="D174" i="15"/>
  <c r="F172" i="15"/>
  <c r="E172" i="15"/>
  <c r="D172" i="15"/>
  <c r="F171" i="15"/>
  <c r="E171" i="15"/>
  <c r="D171" i="15"/>
  <c r="F170" i="15"/>
  <c r="E170" i="15"/>
  <c r="D170" i="15"/>
  <c r="F169" i="15"/>
  <c r="E169" i="15"/>
  <c r="D169" i="15"/>
  <c r="F168" i="15"/>
  <c r="E168" i="15"/>
  <c r="D168" i="15"/>
  <c r="F166" i="15"/>
  <c r="E166" i="15"/>
  <c r="D166" i="15"/>
  <c r="F165" i="15"/>
  <c r="E165" i="15"/>
  <c r="D165" i="15"/>
  <c r="F163" i="15"/>
  <c r="E163" i="15"/>
  <c r="D163" i="15"/>
  <c r="F160" i="15"/>
  <c r="E160" i="15"/>
  <c r="D160" i="15"/>
  <c r="F159" i="15"/>
  <c r="E159" i="15"/>
  <c r="D159" i="15"/>
  <c r="F157" i="15"/>
  <c r="E157" i="15"/>
  <c r="D157" i="15"/>
  <c r="F155" i="15"/>
  <c r="E155" i="15"/>
  <c r="D155" i="15"/>
  <c r="F153" i="15"/>
  <c r="E153" i="15"/>
  <c r="D153" i="15"/>
  <c r="F150" i="15"/>
  <c r="E150" i="15"/>
  <c r="D150" i="15"/>
  <c r="F149" i="15"/>
  <c r="E149" i="15"/>
  <c r="D149" i="15"/>
  <c r="F147" i="15"/>
  <c r="E147" i="15"/>
  <c r="D147" i="15"/>
  <c r="F146" i="15"/>
  <c r="E146" i="15"/>
  <c r="D146" i="15"/>
  <c r="F145" i="15"/>
  <c r="E145" i="15"/>
  <c r="D145" i="15"/>
  <c r="F144" i="15"/>
  <c r="E144" i="15"/>
  <c r="D144" i="15"/>
  <c r="F143" i="15"/>
  <c r="E143" i="15"/>
  <c r="D143" i="15"/>
  <c r="F142" i="15"/>
  <c r="E142" i="15"/>
  <c r="D142" i="15"/>
  <c r="F141" i="15"/>
  <c r="E141" i="15"/>
  <c r="D141" i="15"/>
  <c r="F140" i="15"/>
  <c r="E140" i="15"/>
  <c r="D140" i="15"/>
  <c r="F138" i="15"/>
  <c r="E138" i="15"/>
  <c r="D138" i="15"/>
  <c r="F137" i="15"/>
  <c r="E137" i="15"/>
  <c r="D137" i="15"/>
  <c r="F136" i="15"/>
  <c r="E136" i="15"/>
  <c r="D136" i="15"/>
  <c r="F135" i="15"/>
  <c r="E135" i="15"/>
  <c r="D135" i="15"/>
  <c r="F132" i="15"/>
  <c r="E132" i="15"/>
  <c r="D132" i="15"/>
  <c r="F131" i="15"/>
  <c r="E131" i="15"/>
  <c r="D131" i="15"/>
  <c r="F129" i="15"/>
  <c r="E129" i="15"/>
  <c r="D129" i="15"/>
  <c r="F128" i="15"/>
  <c r="E128" i="15"/>
  <c r="D128" i="15"/>
  <c r="F127" i="15"/>
  <c r="E127" i="15"/>
  <c r="D127" i="15"/>
  <c r="F126" i="15"/>
  <c r="E126" i="15"/>
  <c r="D126" i="15"/>
  <c r="F125" i="15"/>
  <c r="E125" i="15"/>
  <c r="D125" i="15"/>
  <c r="F124" i="15"/>
  <c r="E124" i="15"/>
  <c r="D124" i="15"/>
  <c r="F123" i="15"/>
  <c r="E123" i="15"/>
  <c r="D123" i="15"/>
  <c r="F120" i="15"/>
  <c r="E120" i="15"/>
  <c r="D120" i="15"/>
  <c r="F116" i="15"/>
  <c r="E116" i="15"/>
  <c r="D116" i="15"/>
  <c r="F113" i="15"/>
  <c r="E113" i="15"/>
  <c r="D113" i="15"/>
  <c r="F112" i="15"/>
  <c r="E112" i="15"/>
  <c r="D112" i="15"/>
  <c r="F109" i="15"/>
  <c r="E109" i="15"/>
  <c r="D109" i="15"/>
  <c r="F108" i="15"/>
  <c r="E108" i="15"/>
  <c r="D108" i="15"/>
  <c r="F107" i="15"/>
  <c r="E107" i="15"/>
  <c r="D107" i="15"/>
  <c r="F106" i="15"/>
  <c r="E106" i="15"/>
  <c r="D106" i="15"/>
  <c r="F105" i="15"/>
  <c r="E105" i="15"/>
  <c r="D105" i="15"/>
  <c r="F104" i="15"/>
  <c r="E104" i="15"/>
  <c r="D104" i="15"/>
  <c r="F103" i="15"/>
  <c r="E103" i="15"/>
  <c r="D103" i="15"/>
  <c r="F102" i="15"/>
  <c r="E102" i="15"/>
  <c r="D102" i="15"/>
  <c r="F101" i="15"/>
  <c r="E101" i="15"/>
  <c r="D101" i="15"/>
  <c r="F100" i="15"/>
  <c r="E100" i="15"/>
  <c r="D100" i="15"/>
  <c r="F99" i="15"/>
  <c r="E99" i="15"/>
  <c r="D99" i="15"/>
  <c r="F98" i="15"/>
  <c r="E98" i="15"/>
  <c r="D98" i="15"/>
  <c r="F97" i="15"/>
  <c r="E97" i="15"/>
  <c r="D97" i="15"/>
  <c r="F96" i="15"/>
  <c r="E96" i="15"/>
  <c r="D96" i="15"/>
  <c r="F94" i="15"/>
  <c r="E94" i="15"/>
  <c r="D94" i="15"/>
  <c r="F93" i="15"/>
  <c r="E93" i="15"/>
  <c r="D93" i="15"/>
  <c r="F92" i="15"/>
  <c r="E92" i="15"/>
  <c r="D92" i="15"/>
  <c r="F91" i="15"/>
  <c r="E91" i="15"/>
  <c r="D91" i="15"/>
  <c r="F90" i="15"/>
  <c r="E90" i="15"/>
  <c r="D90" i="15"/>
  <c r="F89" i="15"/>
  <c r="E89" i="15"/>
  <c r="D89" i="15"/>
  <c r="F88" i="15"/>
  <c r="E88" i="15"/>
  <c r="D88" i="15"/>
  <c r="F87" i="15"/>
  <c r="E87" i="15"/>
  <c r="D87" i="15"/>
  <c r="F86" i="15"/>
  <c r="E86" i="15"/>
  <c r="D86" i="15"/>
  <c r="F85" i="15"/>
  <c r="E85" i="15"/>
  <c r="D85" i="15"/>
  <c r="F84" i="15"/>
  <c r="E84" i="15"/>
  <c r="D84" i="15"/>
  <c r="F83" i="15"/>
  <c r="E83" i="15"/>
  <c r="D83" i="15"/>
  <c r="F82" i="15"/>
  <c r="E82" i="15"/>
  <c r="D82" i="15"/>
  <c r="F81" i="15"/>
  <c r="E81" i="15"/>
  <c r="D81" i="15"/>
  <c r="F80" i="15"/>
  <c r="E80" i="15"/>
  <c r="D80" i="15"/>
  <c r="F79" i="15"/>
  <c r="E79" i="15"/>
  <c r="D79" i="15"/>
  <c r="F77" i="15"/>
  <c r="E77" i="15"/>
  <c r="D77" i="15"/>
  <c r="F76" i="15"/>
  <c r="E76" i="15"/>
  <c r="D76" i="15"/>
  <c r="F73" i="15"/>
  <c r="E73" i="15"/>
  <c r="D73" i="15"/>
  <c r="F72" i="15"/>
  <c r="E72" i="15"/>
  <c r="D72" i="15"/>
  <c r="F69" i="15"/>
  <c r="E69" i="15"/>
  <c r="D69" i="15"/>
  <c r="F66" i="15"/>
  <c r="E66" i="15"/>
  <c r="D66" i="15"/>
  <c r="F65" i="15"/>
  <c r="E65" i="15"/>
  <c r="D65" i="15"/>
  <c r="F64" i="15"/>
  <c r="E64" i="15"/>
  <c r="D64" i="15"/>
  <c r="F62" i="15"/>
  <c r="E62" i="15"/>
  <c r="D62" i="15"/>
  <c r="F61" i="15"/>
  <c r="E61" i="15"/>
  <c r="D61" i="15"/>
  <c r="F60" i="15"/>
  <c r="E60" i="15"/>
  <c r="D60" i="15"/>
  <c r="F59" i="15"/>
  <c r="E59" i="15"/>
  <c r="D59" i="15"/>
  <c r="F57" i="15"/>
  <c r="E57" i="15"/>
  <c r="D57" i="15"/>
  <c r="F56" i="15"/>
  <c r="E56" i="15"/>
  <c r="D56" i="15"/>
  <c r="F55" i="15"/>
  <c r="E55" i="15"/>
  <c r="D55" i="15"/>
  <c r="F54" i="15"/>
  <c r="E54" i="15"/>
  <c r="D54" i="15"/>
  <c r="F53" i="15"/>
  <c r="E53" i="15"/>
  <c r="D53" i="15"/>
  <c r="F52" i="15"/>
  <c r="E52" i="15"/>
  <c r="D52" i="15"/>
  <c r="F51" i="15"/>
  <c r="E51" i="15"/>
  <c r="D51" i="15"/>
  <c r="F49" i="15"/>
  <c r="E49" i="15"/>
  <c r="D49" i="15"/>
  <c r="F48" i="15"/>
  <c r="E48" i="15"/>
  <c r="D48" i="15"/>
  <c r="F47" i="15"/>
  <c r="E47" i="15"/>
  <c r="D47" i="15"/>
  <c r="F46" i="15"/>
  <c r="E46" i="15"/>
  <c r="D46" i="15"/>
  <c r="F45" i="15"/>
  <c r="E45" i="15"/>
  <c r="D45" i="15"/>
  <c r="F44" i="15"/>
  <c r="E44" i="15"/>
  <c r="D44" i="15"/>
  <c r="F43" i="15"/>
  <c r="E43" i="15"/>
  <c r="D43" i="15"/>
  <c r="F42" i="15"/>
  <c r="E42" i="15"/>
  <c r="D42" i="15"/>
  <c r="F41" i="15"/>
  <c r="E41" i="15"/>
  <c r="D41" i="15"/>
  <c r="F38" i="15"/>
  <c r="E38" i="15"/>
  <c r="D38" i="15"/>
  <c r="F37" i="15"/>
  <c r="E37" i="15"/>
  <c r="D37" i="15"/>
  <c r="F35" i="15"/>
  <c r="E35" i="15"/>
  <c r="D35" i="15"/>
  <c r="F34" i="15"/>
  <c r="E34" i="15"/>
  <c r="D34" i="15"/>
  <c r="F33" i="15"/>
  <c r="E33" i="15"/>
  <c r="D33" i="15"/>
  <c r="F32" i="15"/>
  <c r="E32" i="15"/>
  <c r="D32" i="15"/>
  <c r="F30" i="15"/>
  <c r="E30" i="15"/>
  <c r="D30" i="15"/>
  <c r="F29" i="15"/>
  <c r="E29" i="15"/>
  <c r="D29" i="15"/>
  <c r="F28" i="15"/>
  <c r="E28" i="15"/>
  <c r="D28" i="15"/>
  <c r="F27" i="15"/>
  <c r="E27" i="15"/>
  <c r="D27" i="15"/>
  <c r="F24" i="15"/>
  <c r="E24" i="15"/>
  <c r="D24" i="15"/>
  <c r="F22" i="15"/>
  <c r="E22" i="15"/>
  <c r="D22" i="15"/>
  <c r="F21" i="15"/>
  <c r="E21" i="15"/>
  <c r="D21" i="15"/>
  <c r="F20" i="15"/>
  <c r="E20" i="15"/>
  <c r="D20" i="15"/>
  <c r="F19" i="15"/>
  <c r="E19" i="15"/>
  <c r="D19" i="15"/>
  <c r="F18" i="15"/>
  <c r="E18" i="15"/>
  <c r="D18" i="15"/>
  <c r="F17" i="15"/>
  <c r="E17" i="15"/>
  <c r="D17" i="15"/>
  <c r="F16" i="15"/>
  <c r="E16" i="15"/>
  <c r="D16" i="15"/>
  <c r="F15" i="15"/>
  <c r="E15" i="15"/>
  <c r="D15" i="15"/>
  <c r="F14" i="15"/>
  <c r="E14" i="15"/>
  <c r="D14" i="15"/>
  <c r="F13" i="15"/>
  <c r="E13" i="15"/>
  <c r="D13" i="15"/>
  <c r="F10" i="15"/>
  <c r="E10" i="15"/>
  <c r="D10" i="15"/>
  <c r="F9" i="15"/>
  <c r="E9" i="15"/>
  <c r="D9" i="15"/>
  <c r="F8" i="15"/>
  <c r="E8" i="15"/>
  <c r="D8" i="15"/>
  <c r="F7" i="15"/>
  <c r="E7" i="15"/>
  <c r="D7" i="15"/>
  <c r="F6" i="15"/>
  <c r="E6" i="15"/>
  <c r="D6" i="15"/>
  <c r="F5" i="15"/>
  <c r="E5" i="15"/>
  <c r="D5" i="15"/>
  <c r="F4" i="15"/>
  <c r="E4" i="15"/>
  <c r="D4" i="15"/>
  <c r="F3" i="15"/>
  <c r="E3" i="15"/>
  <c r="D3" i="15"/>
  <c r="F2" i="15"/>
  <c r="E2" i="15"/>
  <c r="D2" i="15"/>
  <c r="G2" i="13" a="1"/>
  <c r="G205" i="7"/>
  <c r="F205" i="7"/>
  <c r="E205" i="7"/>
  <c r="G204" i="7"/>
  <c r="F204" i="7"/>
  <c r="E204" i="7"/>
  <c r="G203" i="7"/>
  <c r="F203" i="7"/>
  <c r="E203" i="7"/>
  <c r="G202" i="7"/>
  <c r="F202" i="7"/>
  <c r="E202" i="7"/>
  <c r="G201" i="7"/>
  <c r="F201" i="7"/>
  <c r="E201" i="7"/>
  <c r="G200" i="7"/>
  <c r="F200" i="7"/>
  <c r="E200" i="7"/>
  <c r="G199" i="7"/>
  <c r="F199" i="7"/>
  <c r="E199" i="7"/>
  <c r="G198" i="7"/>
  <c r="F198" i="7"/>
  <c r="E198" i="7"/>
  <c r="G197" i="7"/>
  <c r="F197" i="7"/>
  <c r="E197" i="7"/>
  <c r="G196" i="7"/>
  <c r="F196" i="7"/>
  <c r="E196" i="7"/>
  <c r="G195" i="7"/>
  <c r="F195" i="7"/>
  <c r="E195" i="7"/>
  <c r="G159" i="7"/>
  <c r="F159" i="7"/>
  <c r="E159" i="7"/>
  <c r="G150" i="7"/>
  <c r="F150" i="7"/>
  <c r="E150" i="7"/>
  <c r="G72" i="7"/>
  <c r="F72" i="7"/>
  <c r="E72" i="7"/>
  <c r="G26" i="7"/>
  <c r="F26" i="7"/>
  <c r="E26" i="7"/>
  <c r="G158" i="7"/>
  <c r="F158" i="7"/>
  <c r="E158" i="7"/>
  <c r="G149" i="7"/>
  <c r="F149" i="7"/>
  <c r="E149" i="7"/>
  <c r="G152" i="7"/>
  <c r="F152" i="7"/>
  <c r="E152" i="7"/>
  <c r="G36" i="7"/>
  <c r="F36" i="7"/>
  <c r="E36" i="7"/>
  <c r="G23" i="7"/>
  <c r="F23" i="7"/>
  <c r="E23" i="7"/>
  <c r="G187" i="7"/>
  <c r="F187" i="7"/>
  <c r="E187" i="7"/>
  <c r="G57" i="7"/>
  <c r="F57" i="7"/>
  <c r="E57" i="7"/>
  <c r="G163" i="7"/>
  <c r="F163" i="7"/>
  <c r="E163" i="7"/>
  <c r="G113" i="7"/>
  <c r="F113" i="7"/>
  <c r="E113" i="7"/>
  <c r="G115" i="7"/>
  <c r="F115" i="7"/>
  <c r="E115" i="7"/>
  <c r="G31" i="7"/>
  <c r="F31" i="7"/>
  <c r="E31" i="7"/>
  <c r="G162" i="7"/>
  <c r="F162" i="7"/>
  <c r="E162" i="7"/>
  <c r="G118" i="7"/>
  <c r="F118" i="7"/>
  <c r="E118" i="7"/>
  <c r="G176" i="7"/>
  <c r="F176" i="7"/>
  <c r="E176" i="7"/>
  <c r="G117" i="7"/>
  <c r="F117" i="7"/>
  <c r="E117" i="7"/>
  <c r="G156" i="7"/>
  <c r="F156" i="7"/>
  <c r="E156" i="7"/>
  <c r="G178" i="7"/>
  <c r="F178" i="7"/>
  <c r="E178" i="7"/>
  <c r="G41" i="7"/>
  <c r="F41" i="7"/>
  <c r="E41" i="7"/>
  <c r="G69" i="7"/>
  <c r="F69" i="7"/>
  <c r="E69" i="7"/>
  <c r="G25" i="7"/>
  <c r="F25" i="7"/>
  <c r="E25" i="7"/>
  <c r="G155" i="7"/>
  <c r="F155" i="7"/>
  <c r="E155" i="7"/>
  <c r="G13" i="7"/>
  <c r="F13" i="7"/>
  <c r="E13" i="7"/>
  <c r="G171" i="7"/>
  <c r="F171" i="7"/>
  <c r="E171" i="7"/>
  <c r="G66" i="7"/>
  <c r="F66" i="7"/>
  <c r="E66" i="7"/>
  <c r="G186" i="7"/>
  <c r="F186" i="7"/>
  <c r="E186" i="7"/>
  <c r="G177" i="7"/>
  <c r="F177" i="7"/>
  <c r="E177" i="7"/>
  <c r="G190" i="7"/>
  <c r="F190" i="7"/>
  <c r="E190" i="7"/>
  <c r="G6" i="7"/>
  <c r="F6" i="7"/>
  <c r="E6" i="7"/>
  <c r="G27" i="7"/>
  <c r="F27" i="7"/>
  <c r="E27" i="7"/>
  <c r="G53" i="7"/>
  <c r="F53" i="7"/>
  <c r="E53" i="7"/>
  <c r="G124" i="7"/>
  <c r="F124" i="7"/>
  <c r="E124" i="7"/>
  <c r="G81" i="7"/>
  <c r="F81" i="7"/>
  <c r="E81" i="7"/>
  <c r="G183" i="7"/>
  <c r="F183" i="7"/>
  <c r="E183" i="7"/>
  <c r="G170" i="7"/>
  <c r="F170" i="7"/>
  <c r="E170" i="7"/>
  <c r="G39" i="7"/>
  <c r="F39" i="7"/>
  <c r="E39" i="7"/>
  <c r="G121" i="7"/>
  <c r="F121" i="7"/>
  <c r="E121" i="7"/>
  <c r="G120" i="7"/>
  <c r="F120" i="7"/>
  <c r="E120" i="7"/>
  <c r="G68" i="7"/>
  <c r="F68" i="7"/>
  <c r="E68" i="7"/>
  <c r="G17" i="7"/>
  <c r="F17" i="7"/>
  <c r="E17" i="7"/>
  <c r="G142" i="7"/>
  <c r="F142" i="7"/>
  <c r="E142" i="7"/>
  <c r="G40" i="7"/>
  <c r="F40" i="7"/>
  <c r="E40" i="7"/>
  <c r="G73" i="7"/>
  <c r="F73" i="7"/>
  <c r="E73" i="7"/>
  <c r="G93" i="7"/>
  <c r="F93" i="7"/>
  <c r="E93" i="7"/>
  <c r="G54" i="7"/>
  <c r="F54" i="7"/>
  <c r="E54" i="7"/>
  <c r="G179" i="7"/>
  <c r="F179" i="7"/>
  <c r="E179" i="7"/>
  <c r="G175" i="7"/>
  <c r="F175" i="7"/>
  <c r="E175" i="7"/>
  <c r="G119" i="7"/>
  <c r="F119" i="7"/>
  <c r="E119" i="7"/>
  <c r="G189" i="7"/>
  <c r="F189" i="7"/>
  <c r="E189" i="7"/>
  <c r="G109" i="7"/>
  <c r="F109" i="7"/>
  <c r="E109" i="7"/>
  <c r="G43" i="7"/>
  <c r="F43" i="7"/>
  <c r="E43" i="7"/>
  <c r="G106" i="7"/>
  <c r="F106" i="7"/>
  <c r="E106" i="7"/>
  <c r="G46" i="7"/>
  <c r="F46" i="7"/>
  <c r="E46" i="7"/>
  <c r="G35" i="7"/>
  <c r="F35" i="7"/>
  <c r="E35" i="7"/>
  <c r="G110" i="7"/>
  <c r="F110" i="7"/>
  <c r="E110" i="7"/>
  <c r="G146" i="7"/>
  <c r="F146" i="7"/>
  <c r="E146" i="7"/>
  <c r="G137" i="7"/>
  <c r="F137" i="7"/>
  <c r="E137" i="7"/>
  <c r="G136" i="7"/>
  <c r="F136" i="7"/>
  <c r="E136" i="7"/>
  <c r="G32" i="7"/>
  <c r="F32" i="7"/>
  <c r="E32" i="7"/>
  <c r="G14" i="7"/>
  <c r="F14" i="7"/>
  <c r="E14" i="7"/>
  <c r="G89" i="7"/>
  <c r="F89" i="7"/>
  <c r="E89" i="7"/>
  <c r="G22" i="7"/>
  <c r="F22" i="7"/>
  <c r="E22" i="7"/>
  <c r="G129" i="7"/>
  <c r="F129" i="7"/>
  <c r="E129" i="7"/>
  <c r="G18" i="7"/>
  <c r="F18" i="7"/>
  <c r="E18" i="7"/>
  <c r="G101" i="7"/>
  <c r="F101" i="7"/>
  <c r="E101" i="7"/>
  <c r="G7" i="7"/>
  <c r="F7" i="7"/>
  <c r="E7" i="7"/>
  <c r="G83" i="7"/>
  <c r="F83" i="7"/>
  <c r="E83" i="7"/>
  <c r="G65" i="7"/>
  <c r="F65" i="7"/>
  <c r="E65" i="7"/>
  <c r="G130" i="7"/>
  <c r="F130" i="7"/>
  <c r="E130" i="7"/>
  <c r="G125" i="7"/>
  <c r="F125" i="7"/>
  <c r="E125" i="7"/>
  <c r="G90" i="7"/>
  <c r="F90" i="7"/>
  <c r="E90" i="7"/>
  <c r="G21" i="7"/>
  <c r="F21" i="7"/>
  <c r="E21" i="7"/>
  <c r="G74" i="7"/>
  <c r="F74" i="7"/>
  <c r="E74" i="7"/>
  <c r="G71" i="7"/>
  <c r="F71" i="7"/>
  <c r="E71" i="7"/>
  <c r="G192" i="7"/>
  <c r="F192" i="7"/>
  <c r="E192" i="7"/>
  <c r="G63" i="7"/>
  <c r="F63" i="7"/>
  <c r="E63" i="7"/>
  <c r="G188" i="7"/>
  <c r="F188" i="7"/>
  <c r="E188" i="7"/>
  <c r="G185" i="7"/>
  <c r="F185" i="7"/>
  <c r="E185" i="7"/>
  <c r="G181" i="7"/>
  <c r="F181" i="7"/>
  <c r="E181" i="7"/>
  <c r="G144" i="7"/>
  <c r="F144" i="7"/>
  <c r="E144" i="7"/>
  <c r="G141" i="7"/>
  <c r="F141" i="7"/>
  <c r="E141" i="7"/>
  <c r="G134" i="7"/>
  <c r="F134" i="7"/>
  <c r="E134" i="7"/>
  <c r="G132" i="7"/>
  <c r="F132" i="7"/>
  <c r="E132" i="7"/>
  <c r="G128" i="7"/>
  <c r="F128" i="7"/>
  <c r="E128" i="7"/>
  <c r="G122" i="7"/>
  <c r="F122" i="7"/>
  <c r="E122" i="7"/>
  <c r="G104" i="7"/>
  <c r="F104" i="7"/>
  <c r="E104" i="7"/>
  <c r="G102" i="7"/>
  <c r="F102" i="7"/>
  <c r="E102" i="7"/>
  <c r="G94" i="7"/>
  <c r="F94" i="7"/>
  <c r="E94" i="7"/>
  <c r="G84" i="7"/>
  <c r="F84" i="7"/>
  <c r="E84" i="7"/>
  <c r="G82" i="7"/>
  <c r="F82" i="7"/>
  <c r="E82" i="7"/>
  <c r="G75" i="7"/>
  <c r="F75" i="7"/>
  <c r="E75" i="7"/>
  <c r="G70" i="7"/>
  <c r="F70" i="7"/>
  <c r="E70" i="7"/>
  <c r="G67" i="7"/>
  <c r="F67" i="7"/>
  <c r="E67" i="7"/>
  <c r="G62" i="7"/>
  <c r="F62" i="7"/>
  <c r="E62" i="7"/>
  <c r="G55" i="7"/>
  <c r="F55" i="7"/>
  <c r="E55" i="7"/>
  <c r="G50" i="7"/>
  <c r="F50" i="7"/>
  <c r="E50" i="7"/>
  <c r="G49" i="7"/>
  <c r="F49" i="7"/>
  <c r="E49" i="7"/>
  <c r="G47" i="7"/>
  <c r="F47" i="7"/>
  <c r="E47" i="7"/>
  <c r="G33" i="7"/>
  <c r="F33" i="7"/>
  <c r="E33" i="7"/>
  <c r="G28" i="7"/>
  <c r="F28" i="7"/>
  <c r="E28" i="7"/>
  <c r="G24" i="7"/>
  <c r="F24" i="7"/>
  <c r="E24" i="7"/>
  <c r="G20" i="7"/>
  <c r="F20" i="7"/>
  <c r="E20" i="7"/>
  <c r="G19" i="7"/>
  <c r="F19" i="7"/>
  <c r="E19" i="7"/>
  <c r="G16" i="7"/>
  <c r="F16" i="7"/>
  <c r="E16" i="7"/>
  <c r="G12" i="7"/>
  <c r="F12" i="7"/>
  <c r="E12" i="7"/>
  <c r="G9" i="7"/>
  <c r="F9" i="7"/>
  <c r="E9" i="7"/>
  <c r="G8" i="7"/>
  <c r="F8" i="7"/>
  <c r="E8" i="7"/>
  <c r="G5" i="7"/>
  <c r="F5" i="7"/>
  <c r="E5" i="7"/>
  <c r="G2" i="7"/>
  <c r="F2" i="7"/>
  <c r="E2" i="7"/>
  <c r="G184" i="7"/>
  <c r="F184" i="7"/>
  <c r="E184" i="7"/>
  <c r="G105" i="7"/>
  <c r="F105" i="7"/>
  <c r="E105" i="7"/>
  <c r="G60" i="7"/>
  <c r="F60" i="7"/>
  <c r="E60" i="7"/>
  <c r="G99" i="7"/>
  <c r="F99" i="7"/>
  <c r="E99" i="7"/>
  <c r="G97" i="7"/>
  <c r="F97" i="7"/>
  <c r="E97" i="7"/>
  <c r="G153" i="7"/>
  <c r="F153" i="7"/>
  <c r="E153" i="7"/>
  <c r="G30" i="7"/>
  <c r="F30" i="7"/>
  <c r="E30" i="7"/>
  <c r="G34" i="7"/>
  <c r="F34" i="7"/>
  <c r="E34" i="7"/>
  <c r="G145" i="7"/>
  <c r="F145" i="7"/>
  <c r="E145" i="7"/>
  <c r="G193" i="7"/>
  <c r="F193" i="7"/>
  <c r="E193" i="7"/>
  <c r="G191" i="7"/>
  <c r="F191" i="7"/>
  <c r="E191" i="7"/>
  <c r="G182" i="7"/>
  <c r="F182" i="7"/>
  <c r="E182" i="7"/>
  <c r="G174" i="7"/>
  <c r="F174" i="7"/>
  <c r="E174" i="7"/>
  <c r="G168" i="7"/>
  <c r="F168" i="7"/>
  <c r="E168" i="7"/>
  <c r="G167" i="7"/>
  <c r="F167" i="7"/>
  <c r="E167" i="7"/>
  <c r="G166" i="7"/>
  <c r="F166" i="7"/>
  <c r="E166" i="7"/>
  <c r="G165" i="7"/>
  <c r="F165" i="7"/>
  <c r="E165" i="7"/>
  <c r="G154" i="7"/>
  <c r="F154" i="7"/>
  <c r="E154" i="7"/>
  <c r="G148" i="7"/>
  <c r="F148" i="7"/>
  <c r="E148" i="7"/>
  <c r="G143" i="7"/>
  <c r="F143" i="7"/>
  <c r="E143" i="7"/>
  <c r="G139" i="7"/>
  <c r="F139" i="7"/>
  <c r="E139" i="7"/>
  <c r="G138" i="7"/>
  <c r="F138" i="7"/>
  <c r="E138" i="7"/>
  <c r="G135" i="7"/>
  <c r="F135" i="7"/>
  <c r="E135" i="7"/>
  <c r="G133" i="7"/>
  <c r="F133" i="7"/>
  <c r="E133" i="7"/>
  <c r="G126" i="7"/>
  <c r="F126" i="7"/>
  <c r="E126" i="7"/>
  <c r="G123" i="7"/>
  <c r="F123" i="7"/>
  <c r="E123" i="7"/>
  <c r="G114" i="7"/>
  <c r="F114" i="7"/>
  <c r="E114" i="7"/>
  <c r="G111" i="7"/>
  <c r="F111" i="7"/>
  <c r="E111" i="7"/>
  <c r="G107" i="7"/>
  <c r="F107" i="7"/>
  <c r="E107" i="7"/>
  <c r="G100" i="7"/>
  <c r="F100" i="7"/>
  <c r="E100" i="7"/>
  <c r="G95" i="7"/>
  <c r="F95" i="7"/>
  <c r="E95" i="7"/>
  <c r="G91" i="7"/>
  <c r="F91" i="7"/>
  <c r="E91" i="7"/>
  <c r="G88" i="7"/>
  <c r="F88" i="7"/>
  <c r="E88" i="7"/>
  <c r="G87" i="7"/>
  <c r="F87" i="7"/>
  <c r="E87" i="7"/>
  <c r="G86" i="7"/>
  <c r="F86" i="7"/>
  <c r="E86" i="7"/>
  <c r="G85" i="7"/>
  <c r="F85" i="7"/>
  <c r="E85" i="7"/>
  <c r="G79" i="7"/>
  <c r="F79" i="7"/>
  <c r="E79" i="7"/>
  <c r="G78" i="7"/>
  <c r="F78" i="7"/>
  <c r="E78" i="7"/>
  <c r="G77" i="7"/>
  <c r="F77" i="7"/>
  <c r="E77" i="7"/>
  <c r="G64" i="7"/>
  <c r="F64" i="7"/>
  <c r="E64" i="7"/>
  <c r="G59" i="7"/>
  <c r="F59" i="7"/>
  <c r="E59" i="7"/>
  <c r="G58" i="7"/>
  <c r="F58" i="7"/>
  <c r="E58" i="7"/>
  <c r="G48" i="7"/>
  <c r="F48" i="7"/>
  <c r="E48" i="7"/>
  <c r="G45" i="7"/>
  <c r="F45" i="7"/>
  <c r="E45" i="7"/>
  <c r="G44" i="7"/>
  <c r="F44" i="7"/>
  <c r="E44" i="7"/>
  <c r="G42" i="7"/>
  <c r="F42" i="7"/>
  <c r="E42" i="7"/>
  <c r="G38" i="7"/>
  <c r="F38" i="7"/>
  <c r="E38" i="7"/>
  <c r="G37" i="7"/>
  <c r="F37" i="7"/>
  <c r="E37" i="7"/>
  <c r="G194" i="7"/>
  <c r="F194" i="7"/>
  <c r="E194" i="7"/>
  <c r="G180" i="7"/>
  <c r="F180" i="7"/>
  <c r="E180" i="7"/>
  <c r="G172" i="7"/>
  <c r="F172" i="7"/>
  <c r="E172" i="7"/>
  <c r="G169" i="7"/>
  <c r="F169" i="7"/>
  <c r="E169" i="7"/>
  <c r="G161" i="7"/>
  <c r="F161" i="7"/>
  <c r="E161" i="7"/>
  <c r="G160" i="7"/>
  <c r="F160" i="7"/>
  <c r="E160" i="7"/>
  <c r="G157" i="7"/>
  <c r="F157" i="7"/>
  <c r="E157" i="7"/>
  <c r="G151" i="7"/>
  <c r="F151" i="7"/>
  <c r="E151" i="7"/>
  <c r="G147" i="7"/>
  <c r="F147" i="7"/>
  <c r="E147" i="7"/>
  <c r="G140" i="7"/>
  <c r="F140" i="7"/>
  <c r="E140" i="7"/>
  <c r="G131" i="7"/>
  <c r="F131" i="7"/>
  <c r="E131" i="7"/>
  <c r="G127" i="7"/>
  <c r="F127" i="7"/>
  <c r="E127" i="7"/>
  <c r="G116" i="7"/>
  <c r="F116" i="7"/>
  <c r="E116" i="7"/>
  <c r="G112" i="7"/>
  <c r="F112" i="7"/>
  <c r="E112" i="7"/>
  <c r="G108" i="7"/>
  <c r="F108" i="7"/>
  <c r="E108" i="7"/>
  <c r="G98" i="7"/>
  <c r="F98" i="7"/>
  <c r="E98" i="7"/>
  <c r="G96" i="7"/>
  <c r="F96" i="7"/>
  <c r="E96" i="7"/>
  <c r="G92" i="7"/>
  <c r="F92" i="7"/>
  <c r="E92" i="7"/>
  <c r="G80" i="7"/>
  <c r="F80" i="7"/>
  <c r="E80" i="7"/>
  <c r="G76" i="7"/>
  <c r="F76" i="7"/>
  <c r="E76" i="7"/>
  <c r="G56" i="7"/>
  <c r="F56" i="7"/>
  <c r="E56" i="7"/>
  <c r="G52" i="7"/>
  <c r="F52" i="7"/>
  <c r="E52" i="7"/>
  <c r="G51" i="7"/>
  <c r="F51" i="7"/>
  <c r="E51" i="7"/>
  <c r="G29" i="7"/>
  <c r="F29" i="7"/>
  <c r="E29" i="7"/>
  <c r="G15" i="7"/>
  <c r="F15" i="7"/>
  <c r="E15" i="7"/>
  <c r="G10" i="7"/>
  <c r="F10" i="7"/>
  <c r="E10" i="7"/>
  <c r="G4" i="7"/>
  <c r="F4" i="7"/>
  <c r="E4" i="7"/>
  <c r="G3" i="7"/>
  <c r="F3" i="7"/>
  <c r="E3" i="7"/>
  <c r="A2" i="13" l="1"/>
  <c r="G2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<sst xmlns="http://schemas.openxmlformats.org/spreadsheetml/2006/main" count="1501" uniqueCount="438">
  <si>
    <t>PersonID</t>
  </si>
  <si>
    <t>Name</t>
  </si>
  <si>
    <t>Email</t>
  </si>
  <si>
    <t>Notes</t>
  </si>
  <si>
    <t>ProjectID</t>
  </si>
  <si>
    <t>Project Name</t>
  </si>
  <si>
    <t>Status</t>
  </si>
  <si>
    <t>Active</t>
  </si>
  <si>
    <t>RoleID</t>
  </si>
  <si>
    <t>Role Name</t>
  </si>
  <si>
    <t>Faculty</t>
  </si>
  <si>
    <t>Admin</t>
  </si>
  <si>
    <t>Manager</t>
  </si>
  <si>
    <t>Researcher</t>
  </si>
  <si>
    <t>Researcher (Volunteer)</t>
  </si>
  <si>
    <t>Computational Advisor</t>
  </si>
  <si>
    <t>Person</t>
  </si>
  <si>
    <t>Role</t>
  </si>
  <si>
    <t>Project</t>
  </si>
  <si>
    <t>Active Projects</t>
  </si>
  <si>
    <t>Terrell Sealey</t>
  </si>
  <si>
    <t>Riyam Zaman</t>
  </si>
  <si>
    <t>Jimmy Hoang</t>
  </si>
  <si>
    <t>Zachary Wallace</t>
  </si>
  <si>
    <t>Kevin Lemus-Medrano</t>
  </si>
  <si>
    <t>Nahal Bagheri</t>
  </si>
  <si>
    <t>Dima Nabhani</t>
  </si>
  <si>
    <t>N/A</t>
  </si>
  <si>
    <t>Alexa Accuardi</t>
  </si>
  <si>
    <t>Ahsan Subzwari</t>
  </si>
  <si>
    <t>Abhijeet Sidhu</t>
  </si>
  <si>
    <t>Nuria Perez Casas</t>
  </si>
  <si>
    <t xml:space="preserve">Srijan Srivatsa </t>
  </si>
  <si>
    <t>Thu Le</t>
  </si>
  <si>
    <t>Jaskiran Pental</t>
  </si>
  <si>
    <t>Sebastian Ramirez Vega</t>
  </si>
  <si>
    <t>Marco Costa</t>
  </si>
  <si>
    <t>Matthew Bailin</t>
  </si>
  <si>
    <t>Vidushi</t>
  </si>
  <si>
    <t>Dylan Bona</t>
  </si>
  <si>
    <t>Sareen Zhang</t>
  </si>
  <si>
    <t>Avi Cooper</t>
  </si>
  <si>
    <t>Erwin Estevez</t>
  </si>
  <si>
    <t>Subhash Gubba</t>
  </si>
  <si>
    <t>3D Modeling</t>
  </si>
  <si>
    <t>BioCosmos</t>
  </si>
  <si>
    <t>Photogrametry</t>
  </si>
  <si>
    <t>Lizard Classfication</t>
  </si>
  <si>
    <t>Lidar</t>
  </si>
  <si>
    <t>Lizard Toe Pad Landmarking</t>
  </si>
  <si>
    <t>R For Evolution</t>
  </si>
  <si>
    <t>Ecological Modeling</t>
  </si>
  <si>
    <t>Animal Detection</t>
  </si>
  <si>
    <t>Animal Detection: Spatial Camera</t>
  </si>
  <si>
    <t>Bird Audio</t>
  </si>
  <si>
    <t>Bird Behavior</t>
  </si>
  <si>
    <t>Canvas Data</t>
  </si>
  <si>
    <t>Transcript R</t>
  </si>
  <si>
    <t>Social Network</t>
  </si>
  <si>
    <t>Natural History Museum Digital Catalog</t>
  </si>
  <si>
    <t>LLM Interpretability</t>
  </si>
  <si>
    <t>AI for Mental Health</t>
  </si>
  <si>
    <t>Knowledge Traceability</t>
  </si>
  <si>
    <t>3D Generative Models</t>
  </si>
  <si>
    <t>Kernal</t>
  </si>
  <si>
    <t>Vector Quantization</t>
  </si>
  <si>
    <t>Vector DB</t>
  </si>
  <si>
    <t>Training Batch Selection</t>
  </si>
  <si>
    <t>Charleston Train</t>
  </si>
  <si>
    <t>PFAS Absorbent Search</t>
  </si>
  <si>
    <t>Channel</t>
  </si>
  <si>
    <t>#porto-3d-fossils</t>
  </si>
  <si>
    <t>#porto-photogrammetry</t>
  </si>
  <si>
    <t>#stroud-lizard-classification</t>
  </si>
  <si>
    <t>Discord</t>
  </si>
  <si>
    <t>#stroud-lizard-movement</t>
  </si>
  <si>
    <t>#stroud-lizard-toepad</t>
  </si>
  <si>
    <t>#stroud-r-for-evolution</t>
  </si>
  <si>
    <t>GT Workspace - #project-haag-modeling</t>
  </si>
  <si>
    <t>#mcquire-animal-detection</t>
  </si>
  <si>
    <t>GT Workspace - #project-haag-spatial-cameratrap</t>
  </si>
  <si>
    <t>#freeman-bird-audio</t>
  </si>
  <si>
    <t>#freeman-bird-behavior</t>
  </si>
  <si>
    <t>#weigel-canvas-data</t>
  </si>
  <si>
    <t>#weigel-social-network</t>
  </si>
  <si>
    <t>#handika-natural-history-project</t>
  </si>
  <si>
    <t>#llm-black-box-interpretability</t>
  </si>
  <si>
    <t>#dey-ai-for-mental-health</t>
  </si>
  <si>
    <t>#dey-knowledge-traceability</t>
  </si>
  <si>
    <t>#mukhopadhyay-cddm-group</t>
  </si>
  <si>
    <t>#mukhopadhyay-kernal</t>
  </si>
  <si>
    <t>#mussman-vector-quantization</t>
  </si>
  <si>
    <t>#mussman-vectordb-retrieval</t>
  </si>
  <si>
    <t>#mussmann-training-batch-selection</t>
  </si>
  <si>
    <t>#mussman-charleston-train</t>
  </si>
  <si>
    <t>#mussman-inaturalist</t>
  </si>
  <si>
    <t>#mussman-pfas-absorbent-search</t>
  </si>
  <si>
    <t>Meeting Time</t>
  </si>
  <si>
    <t>Thursdays @ 10am (weekly)</t>
  </si>
  <si>
    <t>Fridays @ Noon</t>
  </si>
  <si>
    <t>Wednesdays @ 5pm (unit weeks)</t>
  </si>
  <si>
    <t>Wednesdays @ 5pm</t>
  </si>
  <si>
    <t>Wednesdays @ 4pm</t>
  </si>
  <si>
    <t>Tuesdays @ 4PM</t>
  </si>
  <si>
    <t>Ad hoc</t>
  </si>
  <si>
    <t>Tuesdays @ 9am</t>
  </si>
  <si>
    <t>Tuesdays @ 3pm (weekly)</t>
  </si>
  <si>
    <t>Mondays @ 8:30am</t>
  </si>
  <si>
    <t>Thursdays @ 3pm</t>
  </si>
  <si>
    <t>Fridays @ 2pm</t>
  </si>
  <si>
    <t>Thursdays @ 6:30pm</t>
  </si>
  <si>
    <t>Mondays @ Noon</t>
  </si>
  <si>
    <t>Wednesday @ 9am (weekly)</t>
  </si>
  <si>
    <t>Thursdays @ 7pm (weekly)</t>
  </si>
  <si>
    <t>Wednesdays @ 7pm</t>
  </si>
  <si>
    <t>Tuesdays @ 2pm</t>
  </si>
  <si>
    <t>Fridays @ 3pm</t>
  </si>
  <si>
    <t>Tuesdays @ Noon</t>
  </si>
  <si>
    <t>Tuesdays @ 3pm</t>
  </si>
  <si>
    <t>Sophia Nguyen</t>
  </si>
  <si>
    <t>Kaiyuan Deng</t>
  </si>
  <si>
    <t>Peninah Waweru</t>
  </si>
  <si>
    <t>Kiran Patil</t>
  </si>
  <si>
    <t>Amr Arafa</t>
  </si>
  <si>
    <t>Unit</t>
  </si>
  <si>
    <t>Lizard Movement</t>
  </si>
  <si>
    <t>3D Fossils</t>
  </si>
  <si>
    <t>Inaturalist Data</t>
  </si>
  <si>
    <t>Porto</t>
  </si>
  <si>
    <t>Stroud</t>
  </si>
  <si>
    <t>McGuire</t>
  </si>
  <si>
    <t>Freeman</t>
  </si>
  <si>
    <t>Handika</t>
  </si>
  <si>
    <t>Postigilone</t>
  </si>
  <si>
    <t>Dey</t>
  </si>
  <si>
    <t>Mukhopadhyay</t>
  </si>
  <si>
    <t>Mussman</t>
  </si>
  <si>
    <t>Yasha Iravantchi</t>
  </si>
  <si>
    <t>Chenwei Xu</t>
  </si>
  <si>
    <t>Tuan-Anh Vu</t>
  </si>
  <si>
    <t>Imon Banerjee</t>
  </si>
  <si>
    <t>Samuel Ruiperez-Campillo</t>
  </si>
  <si>
    <t>yiravan@umich.edu</t>
  </si>
  <si>
    <t>q1062327596@gmail.com</t>
  </si>
  <si>
    <t>tuananh1007@ucla.edu</t>
  </si>
  <si>
    <t>imon.banerjee@northwestern.edu</t>
  </si>
  <si>
    <t>samuel.ruiperezcampillo@inf.ethz.ch</t>
  </si>
  <si>
    <t>AI-driven sensing systems; privacy-preserving sensor and machine-learning co-design; wearable and health-monitoring technologies; clinical outcome forecasting; human-centred health-AI design.</t>
  </si>
  <si>
    <t>Tabular and sparse-architecture machine learning; Hopfield-model methods; reinforcement learning for physical-system control; multivariate time-series and biomedical ML.</t>
  </si>
  <si>
    <t>3D and geometry-based computer vision; deep learning for scene understanding and navigation; point-cloud reconstruction and shape analysis; robotics perception including underwater environments.</t>
  </si>
  <si>
    <t>Theoretical machine learning and statistics; empirical processes and concentration results; meta-learning and decision-process modelling; probabilistic foundations of modern ML.</t>
  </si>
  <si>
    <t>Machine learning and signal processing for cardiology; multimodal and generative models for ECG and cardiac imaging; methods for arrhythmia analysis and clinical risk stratification.</t>
  </si>
  <si>
    <t>Computational Advisors</t>
  </si>
  <si>
    <t>Managers</t>
  </si>
  <si>
    <t>Avish Parmar</t>
  </si>
  <si>
    <t>aparmar43@gatech.edu</t>
  </si>
  <si>
    <t>Shanmugavel Kuttiyandi Chandrakasu</t>
  </si>
  <si>
    <t>schandrakasu3@gatech.edu</t>
  </si>
  <si>
    <t>Kimiyasu Morikawa</t>
  </si>
  <si>
    <t>kimi@gatech.edu</t>
  </si>
  <si>
    <t>Krishna Shankar Aravind Kumar</t>
  </si>
  <si>
    <t>kkumar318@gatech.edu</t>
  </si>
  <si>
    <t>Evelyn Shi</t>
  </si>
  <si>
    <t>eshi39@gatech.edu</t>
  </si>
  <si>
    <t>Leonardo Savasta</t>
  </si>
  <si>
    <t>lsavasta3@gatech.edu</t>
  </si>
  <si>
    <t>Wenxia Zhou</t>
  </si>
  <si>
    <t>wzhou344@gatech.edu</t>
  </si>
  <si>
    <t>Aakanksha Jaiswal</t>
  </si>
  <si>
    <t>ajaiswal@gatech.edu</t>
  </si>
  <si>
    <t>Alan Nadelsticher</t>
  </si>
  <si>
    <t>alan.nadelsticher@gatech.edu</t>
  </si>
  <si>
    <t>Aleksandr Spiridonov</t>
  </si>
  <si>
    <t>aspiridonov3@gatech.edu</t>
  </si>
  <si>
    <t>Alex Hinds</t>
  </si>
  <si>
    <t>ahinds9@gatech.edu</t>
  </si>
  <si>
    <t>Ali Sean Khan</t>
  </si>
  <si>
    <t>seankhan@gatech.edu</t>
  </si>
  <si>
    <t>Andrei Hushcha</t>
  </si>
  <si>
    <t>ahushcha@gatech.edu</t>
  </si>
  <si>
    <t>Anqi Zheng</t>
  </si>
  <si>
    <t>azheng72@gatech.edu</t>
  </si>
  <si>
    <t>Aparna Suresh</t>
  </si>
  <si>
    <t>asuresh85@gatech.edu</t>
  </si>
  <si>
    <t>Arun Tipingiri</t>
  </si>
  <si>
    <t>atipingiri3@gatech.edu</t>
  </si>
  <si>
    <t>Astika Nehra</t>
  </si>
  <si>
    <t>astikanehra@gatech.edu</t>
  </si>
  <si>
    <t>Benjamin Ostrower</t>
  </si>
  <si>
    <t>bostrower3@gatech.edu</t>
  </si>
  <si>
    <t>David Alexander Guecha Ahumada</t>
  </si>
  <si>
    <t>dahumada3@gatech.edu</t>
  </si>
  <si>
    <t>David Levy</t>
  </si>
  <si>
    <t>david.levy@gatech.edu</t>
  </si>
  <si>
    <t>David Solooki</t>
  </si>
  <si>
    <t>dsolooki3@gatech.edu</t>
  </si>
  <si>
    <t>Dima Al Nabhani</t>
  </si>
  <si>
    <t>dnabhani3@gatech.edu</t>
  </si>
  <si>
    <t>Erik Dreyer</t>
  </si>
  <si>
    <t>edreyer8@gatech.edu</t>
  </si>
  <si>
    <t>Frank Hoffman</t>
  </si>
  <si>
    <t>fhoffman3@gatech.edu</t>
  </si>
  <si>
    <t>Heba Elwazzan</t>
  </si>
  <si>
    <t>helwazzan3@gatech.edu</t>
  </si>
  <si>
    <t>Isaac Felix</t>
  </si>
  <si>
    <t>ifelix6@gatech.edu</t>
  </si>
  <si>
    <t>James Jaehun Yoon</t>
  </si>
  <si>
    <t>jyoon370@gatech.edu</t>
  </si>
  <si>
    <t>John Hiedo</t>
  </si>
  <si>
    <t>jhiedo3@gatech.edu</t>
  </si>
  <si>
    <t>Joohyun Lee</t>
  </si>
  <si>
    <t>joohyun@gatech.edu</t>
  </si>
  <si>
    <t>Kefei Yan</t>
  </si>
  <si>
    <t>kyan66@gatech.edu</t>
  </si>
  <si>
    <t>Lawrence Bohan Gan</t>
  </si>
  <si>
    <t>lgan36@gatech.edu</t>
  </si>
  <si>
    <t>Le Yang Loh</t>
  </si>
  <si>
    <t>yloh30@gatech.edu</t>
  </si>
  <si>
    <t>Neelima pandey Srivasta</t>
  </si>
  <si>
    <t>nsrivastava44@gatech.edu</t>
  </si>
  <si>
    <t>Oliver Dobon</t>
  </si>
  <si>
    <t>odobon3@gatech.edu</t>
  </si>
  <si>
    <t>Prateek Awate</t>
  </si>
  <si>
    <t>pawate3@gatech.edu</t>
  </si>
  <si>
    <t>Quinn Mattison</t>
  </si>
  <si>
    <t>qmattison3@gatech.edu</t>
  </si>
  <si>
    <t>Rohil Shah</t>
  </si>
  <si>
    <t>rshah95@gatech.edu</t>
  </si>
  <si>
    <t>Sagnik Sinha</t>
  </si>
  <si>
    <t>ssinha348@gatech.edu</t>
  </si>
  <si>
    <t>Wai Lung Justin Yiu</t>
  </si>
  <si>
    <t>wyiu31@gatech.edu</t>
  </si>
  <si>
    <t>Wenying Wu</t>
  </si>
  <si>
    <t>wwu393@gatech.edu</t>
  </si>
  <si>
    <t>Xu Chen</t>
  </si>
  <si>
    <t>xchen992@gatech.edu</t>
  </si>
  <si>
    <t>Guanxi Shen</t>
  </si>
  <si>
    <t>gshen42@gatech.edu</t>
  </si>
  <si>
    <t>Yutao Xu</t>
  </si>
  <si>
    <t>yutao.xu@gatech.edu</t>
  </si>
  <si>
    <t>Ishaan Datta</t>
  </si>
  <si>
    <t>idatta31@gatech.edu</t>
  </si>
  <si>
    <t>James Hennessy</t>
  </si>
  <si>
    <t>jhennessy7@gatech.edu</t>
  </si>
  <si>
    <t>Archita Jain</t>
  </si>
  <si>
    <t>ajain375@gatech.edu</t>
  </si>
  <si>
    <t>Junling Zhuang</t>
  </si>
  <si>
    <t>jzhuang48@gatech.edu</t>
  </si>
  <si>
    <t>Niral Verma</t>
  </si>
  <si>
    <t>nverma64@gatech.edu</t>
  </si>
  <si>
    <t>Pengyuan Li</t>
  </si>
  <si>
    <t>pli396@gatech.edu</t>
  </si>
  <si>
    <t>Enrollment</t>
  </si>
  <si>
    <t>CS 6999</t>
  </si>
  <si>
    <t>CS 8803</t>
  </si>
  <si>
    <t>Calvin Yu</t>
  </si>
  <si>
    <t>cyu435@gatech.edu</t>
  </si>
  <si>
    <t>Charles Sanchez</t>
  </si>
  <si>
    <t>csanchez84@gatech.edu</t>
  </si>
  <si>
    <t>Chris Wirgler</t>
  </si>
  <si>
    <t>cwirgler3@gatech.edu</t>
  </si>
  <si>
    <t>Colin Sawyer</t>
  </si>
  <si>
    <t>csawyer6@gatech.edu</t>
  </si>
  <si>
    <t>Dante Evangelista</t>
  </si>
  <si>
    <t>devangelista8@gatech.edu</t>
  </si>
  <si>
    <t>David Huynh</t>
  </si>
  <si>
    <t>dhuynh75@gatech.edu</t>
  </si>
  <si>
    <t>Evelyn Binoya</t>
  </si>
  <si>
    <t>evbinoya@gatech.edu</t>
  </si>
  <si>
    <t>Evelyn Lim</t>
  </si>
  <si>
    <t>slim374@gatech.edu</t>
  </si>
  <si>
    <t>Guillaume Batungwanayo</t>
  </si>
  <si>
    <t>gbatungwanayo3@gatech.edu</t>
  </si>
  <si>
    <t>Jayant Raisinghani</t>
  </si>
  <si>
    <t>jraisinghani3@gatech.edu</t>
  </si>
  <si>
    <t>jiangmin wei</t>
  </si>
  <si>
    <t>jwei337@gatech.edu</t>
  </si>
  <si>
    <t>Jiaxuan Koh</t>
  </si>
  <si>
    <t>jkoh65@gatech.edu</t>
  </si>
  <si>
    <t>Joseph Byun</t>
  </si>
  <si>
    <t>jbyun49@gatech.edu</t>
  </si>
  <si>
    <t>Joshua Putra Widjaanrko</t>
  </si>
  <si>
    <t>joshuawidjanarko@gmail.com</t>
  </si>
  <si>
    <t>Joshua Yu</t>
  </si>
  <si>
    <t>jyu682@gatech.edu</t>
  </si>
  <si>
    <t>Jossue Medina Ramos</t>
  </si>
  <si>
    <t>jramos66@gatech.edu</t>
  </si>
  <si>
    <t>Justin Jerome Klotz</t>
  </si>
  <si>
    <t>jklotz9@gatech.edu</t>
  </si>
  <si>
    <t>Keith Salzman</t>
  </si>
  <si>
    <t>ksalzman3@gatech.edu</t>
  </si>
  <si>
    <t>LAITH ALKHALIL</t>
  </si>
  <si>
    <t>lalkhalil3@gatech.edu</t>
  </si>
  <si>
    <t>Luke DeVivo</t>
  </si>
  <si>
    <t>ldevivo3@gatech.edu</t>
  </si>
  <si>
    <t>Matt Delage</t>
  </si>
  <si>
    <t>mdelage6@gatech.edu</t>
  </si>
  <si>
    <t>Minseok Kim</t>
  </si>
  <si>
    <t>mkim3064@gatech.edu</t>
  </si>
  <si>
    <t>Neil Warraich</t>
  </si>
  <si>
    <t>nwarraich6@gatech.edu</t>
  </si>
  <si>
    <t>Nirali Thakkar</t>
  </si>
  <si>
    <t>nirali@gatech.edu</t>
  </si>
  <si>
    <t>Prathamesh Bhushan Khare</t>
  </si>
  <si>
    <t>pkhare8@gatech.edu</t>
  </si>
  <si>
    <t>Rabah Ouldnoughi</t>
  </si>
  <si>
    <t>rouldnoughi3@gatech.edu</t>
  </si>
  <si>
    <t>Rajat Kanti Bhattacharjee</t>
  </si>
  <si>
    <t>rkb6@gatech.edu</t>
  </si>
  <si>
    <t>Rebecca Rivera</t>
  </si>
  <si>
    <t>rrivera73@gatech.edu</t>
  </si>
  <si>
    <t>Ryan Yu</t>
  </si>
  <si>
    <t>ryu98@gatech.edu</t>
  </si>
  <si>
    <t>Saumya Agrawal</t>
  </si>
  <si>
    <t>sagrawal93@gatech.edu</t>
  </si>
  <si>
    <t>Shivani Revuru</t>
  </si>
  <si>
    <t>srevuru6@gatech.edu</t>
  </si>
  <si>
    <t>Swati Dusane</t>
  </si>
  <si>
    <t>sdusane3@gatech.edu</t>
  </si>
  <si>
    <t>Syed Muhammad Fahad Rizvi</t>
  </si>
  <si>
    <t>srizvi63@gatech.edu</t>
  </si>
  <si>
    <t>Taylor Papke</t>
  </si>
  <si>
    <t>tpapke3@gatech.edu</t>
  </si>
  <si>
    <t>Tejasvi Sameer Kasturi</t>
  </si>
  <si>
    <t>tkasturi3@gatech.edu</t>
  </si>
  <si>
    <t>Timothy Pang</t>
  </si>
  <si>
    <t>tpang33@gatech.edu</t>
  </si>
  <si>
    <t>Wanying Zhu</t>
  </si>
  <si>
    <t>wzhu97@gatech.edu</t>
  </si>
  <si>
    <t>Yulian Lee Ying Hern</t>
  </si>
  <si>
    <t>yhern3@gatech.edu</t>
  </si>
  <si>
    <t>Zachary Tristan Wallace</t>
  </si>
  <si>
    <t>zwallace9@gatech.edu</t>
  </si>
  <si>
    <t>Sai Tyada</t>
  </si>
  <si>
    <t>styada3@gatech.edu</t>
  </si>
  <si>
    <t>Bina Patel</t>
  </si>
  <si>
    <t>bpatel80@gatech.edu</t>
  </si>
  <si>
    <t>CS 8903</t>
  </si>
  <si>
    <t>Environmental Clean Up</t>
  </si>
  <si>
    <t>Gurjot Singh</t>
  </si>
  <si>
    <t>gurjot.singh@gatech.edu</t>
  </si>
  <si>
    <t>Volunteer</t>
  </si>
  <si>
    <t>Shruti Motiwale</t>
  </si>
  <si>
    <t>Arunachal Syam</t>
  </si>
  <si>
    <t>John Portin</t>
  </si>
  <si>
    <t>Aleksandar Pramov</t>
  </si>
  <si>
    <t>Laura Tomokiyo</t>
  </si>
  <si>
    <t>Aniketh Swain</t>
  </si>
  <si>
    <t>Omkar Milind Vaishampayan</t>
  </si>
  <si>
    <t>Arjot Singh Rai</t>
  </si>
  <si>
    <t>john.portin@gatech.edu</t>
  </si>
  <si>
    <t>apramov3@gatech.edu</t>
  </si>
  <si>
    <t>ltomokiyo3@gatech.edu</t>
  </si>
  <si>
    <t>aswain9@gatech.edu</t>
  </si>
  <si>
    <t>ovaishampayan3@gatech.edu</t>
  </si>
  <si>
    <t>arai304@gatech.edu</t>
  </si>
  <si>
    <t>Amirhossein Jafari Bidhendi</t>
  </si>
  <si>
    <t>abidhendi3@gatech.edu</t>
  </si>
  <si>
    <t>Balaji Anandganesh</t>
  </si>
  <si>
    <t>Unknown</t>
  </si>
  <si>
    <t>Raghu Mulukutla</t>
  </si>
  <si>
    <t>Jiangmin Wei</t>
  </si>
  <si>
    <t>Maryam Berijanian</t>
  </si>
  <si>
    <t>Brennen Songyong Yu</t>
  </si>
  <si>
    <t>byu321@gatech.edu</t>
  </si>
  <si>
    <t>Livia Lohanda</t>
  </si>
  <si>
    <t>livia.lohanda@gatech.edu</t>
  </si>
  <si>
    <t>Cody Henderson</t>
  </si>
  <si>
    <t>Marco Postiglione</t>
  </si>
  <si>
    <t>Navya Annapareddy</t>
  </si>
  <si>
    <t>Tom Fox</t>
  </si>
  <si>
    <t>Vanessa Prema</t>
  </si>
  <si>
    <t>tfox35@gatech.edu</t>
  </si>
  <si>
    <t>vprema3@gatech.edu</t>
  </si>
  <si>
    <t>Ebram Tawfik</t>
  </si>
  <si>
    <t>etawfik@gatech.edu</t>
  </si>
  <si>
    <t>Katherine Slenker</t>
  </si>
  <si>
    <t>Jacquie Caroll</t>
  </si>
  <si>
    <t>Ryan Barley</t>
  </si>
  <si>
    <t>rbarley6@gatech.edu</t>
  </si>
  <si>
    <t>Andrew Nguyen</t>
  </si>
  <si>
    <t>anguyen626@gatech.edu</t>
  </si>
  <si>
    <t>Ilia Jahanshahi</t>
  </si>
  <si>
    <t>Charlie Clark</t>
  </si>
  <si>
    <t>Thomas Orth</t>
  </si>
  <si>
    <t>Wen Han Chia</t>
  </si>
  <si>
    <t>wchia7@gatech.edu</t>
  </si>
  <si>
    <t>John Hagood</t>
  </si>
  <si>
    <t>jhagood7@gatech.edu</t>
  </si>
  <si>
    <t>Nicholas Oo</t>
  </si>
  <si>
    <t>noo30@gatech.edu</t>
  </si>
  <si>
    <t>Dylan Herbig</t>
  </si>
  <si>
    <t>dherbig3@gatech.edu</t>
  </si>
  <si>
    <t>aupadhyay64@gatech.edu</t>
  </si>
  <si>
    <t>axu39@gatech.edu</t>
  </si>
  <si>
    <t>Albert Xu</t>
  </si>
  <si>
    <t>Ashna Upadhyay</t>
  </si>
  <si>
    <t>Wolcott</t>
  </si>
  <si>
    <t>Project History</t>
  </si>
  <si>
    <t>Shi</t>
  </si>
  <si>
    <t>Alexander</t>
  </si>
  <si>
    <t>Amanjit Singh</t>
  </si>
  <si>
    <t>amansingh@gatech.edu</t>
  </si>
  <si>
    <t>Letters</t>
  </si>
  <si>
    <t>D&amp;O</t>
  </si>
  <si>
    <t>ConstructConnect</t>
  </si>
  <si>
    <t>Bankruptcy Docket</t>
  </si>
  <si>
    <t>Criminal Sentences</t>
  </si>
  <si>
    <t>Weigel</t>
  </si>
  <si>
    <t>Shubham Puri</t>
  </si>
  <si>
    <t>Nahian Tahmin</t>
  </si>
  <si>
    <t>Tsedeniya Amare</t>
  </si>
  <si>
    <t>spuri62@gatech.edu</t>
  </si>
  <si>
    <t>Sumeet Sanjay Vyas</t>
  </si>
  <si>
    <t>svyas44@gatech.edu</t>
  </si>
  <si>
    <t>Bailey Russo</t>
  </si>
  <si>
    <t>Mlen-Too Wesley</t>
  </si>
  <si>
    <t>Michael Bock</t>
  </si>
  <si>
    <t>Suzanne Eastwood</t>
  </si>
  <si>
    <t>Evan Lim</t>
  </si>
  <si>
    <t>Xin Lin</t>
  </si>
  <si>
    <t>Artin Mirzayans</t>
  </si>
  <si>
    <t>Brian Wang</t>
  </si>
  <si>
    <t>Shane Storks</t>
  </si>
  <si>
    <t>Sayak Chakrabarty</t>
  </si>
  <si>
    <t>Souradip Pal</t>
  </si>
  <si>
    <t xml:space="preserve">Arushi Sharma </t>
  </si>
  <si>
    <t>Isidora Tourni</t>
  </si>
  <si>
    <t>brusso6@gatech.edu</t>
  </si>
  <si>
    <t>mwesley32@gatech.edu</t>
  </si>
  <si>
    <t>amirzayans3@gatech.edu</t>
  </si>
  <si>
    <t>bwang680@gatech.edu</t>
  </si>
  <si>
    <t>Units</t>
  </si>
  <si>
    <t>3D Vision</t>
  </si>
  <si>
    <t>UI</t>
  </si>
  <si>
    <t>Image Processing</t>
  </si>
  <si>
    <t>Methods</t>
  </si>
  <si>
    <t>Enrollments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</si>
</sst>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75E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4" fillId="0" borderId="0" xfId="1"/>
    <xf numFmtId="0" fontId="0" fillId="0" borderId="0" xfId="0" applyFill="1"/>
    <xf numFmtId="0" fontId="5" fillId="0" borderId="2" xfId="0" applyFont="1" applyFill="1" applyBorder="1"/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4" fillId="0" borderId="0" xfId="1" applyAlignment="1">
      <alignment vertical="center" wrapText="1"/>
    </xf>
    <xf numFmtId="0" fontId="5" fillId="0" borderId="0" xfId="0" applyFont="1" applyFill="1"/>
    <xf numFmtId="0" fontId="0" fillId="0" borderId="0" xfId="0" applyFill="1" applyAlignment="1">
      <alignment wrapText="1"/>
    </xf>
    <xf numFmtId="0" fontId="0" fillId="0" borderId="0" xfId="0" applyFill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top" wrapText="1"/>
    </xf>
    <xf numFmtId="49" fontId="0" fillId="0" borderId="0" xfId="0" applyNumberFormat="1" applyFill="1" applyAlignment="1">
      <alignment wrapText="1"/>
    </xf>
    <xf numFmtId="14" fontId="0" fillId="0" borderId="0" xfId="0" applyNumberFormat="1" applyFill="1"/>
    <xf numFmtId="0" fontId="3" fillId="0" borderId="0" xfId="0" applyFont="1" applyFill="1"/>
    <xf numFmtId="0" fontId="0" fillId="0" borderId="0" xfId="0" applyFill="1" applyBorder="1"/>
    <xf numFmtId="0" fontId="2" fillId="0" borderId="0" xfId="0" applyFont="1" applyFill="1"/>
    <xf numFmtId="49" fontId="0" fillId="0" borderId="0" xfId="0" applyNumberFormat="1" applyFill="1"/>
    <xf numFmtId="0" fontId="5" fillId="0" borderId="4" xfId="0" applyFont="1" applyFill="1" applyBorder="1"/>
    <xf numFmtId="0" fontId="0" fillId="0" borderId="0" xfId="0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vertical="center" wrapText="1"/>
    </xf>
    <xf numFmtId="0" fontId="0" fillId="0" borderId="0" xfId="0" applyFill="1" applyAlignment="1"/>
    <xf numFmtId="0" fontId="6" fillId="0" borderId="0" xfId="0" applyFont="1" applyFill="1"/>
    <xf numFmtId="0" fontId="0" fillId="0" borderId="0" xfId="0" applyFill="1" applyBorder="1" applyAlignment="1"/>
    <xf numFmtId="0" fontId="0" fillId="0" borderId="4" xfId="0" applyFill="1" applyBorder="1"/>
    <xf numFmtId="0" fontId="0" fillId="0" borderId="4" xfId="0" applyFill="1" applyBorder="1" applyAlignment="1">
      <alignment vertical="center" wrapText="1"/>
    </xf>
    <xf numFmtId="0" fontId="3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vertical="top"/>
    </xf>
    <xf numFmtId="49" fontId="0" fillId="0" borderId="2" xfId="0" applyNumberFormat="1" applyFill="1" applyBorder="1"/>
    <xf numFmtId="0" fontId="0" fillId="0" borderId="2" xfId="0" applyFill="1" applyBorder="1"/>
    <xf numFmtId="0" fontId="0" fillId="0" borderId="2" xfId="0" applyFill="1" applyBorder="1" applyAlignment="1">
      <alignment vertical="center"/>
    </xf>
    <xf numFmtId="0" fontId="0" fillId="0" borderId="4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2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7375E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279400</xdr:colOff>
      <xdr:row>63</xdr:row>
      <xdr:rowOff>88900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321DBB3-62E2-4D35-C18C-FCF7063D907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584200</xdr:colOff>
      <xdr:row>63</xdr:row>
      <xdr:rowOff>25400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BC568567-722C-196E-840D-763287594E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eople" displayName="tblPeople" ref="A1:C194" dataDxfId="7">
  <autoFilter ref="A1:C194" xr:uid="{00000000-0009-0000-0100-000001000000}"/>
  <sortState xmlns:xlrd2="http://schemas.microsoft.com/office/spreadsheetml/2017/richdata2" ref="A2:C147">
    <sortCondition ref="A1:A147"/>
  </sortState>
  <tableColumns count="3">
    <tableColumn id="2" xr3:uid="{00000000-0010-0000-0000-000002000000}" name="Name" dataDxfId="10"/>
    <tableColumn id="3" xr3:uid="{00000000-0010-0000-0000-000003000000}" name="Email" dataDxfId="9"/>
    <tableColumn id="5" xr3:uid="{00000000-0010-0000-0000-000005000000}" name="Note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jects" displayName="tblProjects" ref="A1:G37">
  <autoFilter ref="A1:G37" xr:uid="{00000000-0009-0000-0100-000003000000}"/>
  <sortState xmlns:xlrd2="http://schemas.microsoft.com/office/spreadsheetml/2017/richdata2" ref="A2:G37">
    <sortCondition ref="A1:A37"/>
  </sortState>
  <tableColumns count="7">
    <tableColumn id="2" xr3:uid="{00000000-0010-0000-0200-000002000000}" name="Project Name"/>
    <tableColumn id="9" xr3:uid="{BFB8D69F-EFEB-4145-9E8D-DCC8F66008C0}" name="Faculty"/>
    <tableColumn id="3" xr3:uid="{00000000-0010-0000-0200-000003000000}" name="Unit"/>
    <tableColumn id="7" xr3:uid="{6E79B03E-370A-2F47-9DE4-74F30CBBC88C}" name="Channel" dataDxfId="20"/>
    <tableColumn id="8" xr3:uid="{B6D4BEF1-3B06-304C-AD76-E69BF3F9E1C1}" name="Meeting Time" dataCellStyle="Hyperlink"/>
    <tableColumn id="4" xr3:uid="{00000000-0010-0000-0200-000004000000}" name="Status"/>
    <tableColumn id="5" xr3:uid="{00000000-0010-0000-02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oles" displayName="tblRoles" ref="A1:A7">
  <autoFilter ref="A1:A7" xr:uid="{00000000-0009-0000-0100-000004000000}"/>
  <tableColumns count="1">
    <tableColumn id="2" xr3:uid="{00000000-0010-0000-0300-000002000000}" name="Role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DE8BA0-A4FA-9D4E-9E15-1D08A4015040}" name="tblUnits" displayName="tblUnits" ref="A1:A5" totalsRowShown="0" headerRowDxfId="11">
  <autoFilter ref="A1:A5" xr:uid="{8DDE8BA0-A4FA-9D4E-9E15-1D08A4015040}"/>
  <sortState xmlns:xlrd2="http://schemas.microsoft.com/office/spreadsheetml/2017/richdata2" ref="A2:A5">
    <sortCondition ref="A1:A5"/>
  </sortState>
  <tableColumns count="1">
    <tableColumn id="1" xr3:uid="{16F493BC-7C15-BB46-B245-42F6A4D28F43}" name="Uni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EC64AB7-7029-5840-AB8E-741AAE8296C6}" name="tblEnrollments" displayName="tblEnrollments" ref="A1:F205" dataDxfId="6">
  <autoFilter ref="A1:F205" xr:uid="{00000000-0009-0000-0100-000006000000}"/>
  <sortState xmlns:xlrd2="http://schemas.microsoft.com/office/spreadsheetml/2017/richdata2" ref="A2:F205">
    <sortCondition ref="A1:A205"/>
  </sortState>
  <tableColumns count="6">
    <tableColumn id="2" xr3:uid="{33F76AAA-257F-F04D-AE83-EA5D659676AE}" name="Name" dataDxfId="5"/>
    <tableColumn id="4" xr3:uid="{84532325-9739-C344-AE7B-7706B05116C2}" name="Enrollment" dataDxfId="4"/>
    <tableColumn id="5" xr3:uid="{8E584261-F699-9740-A69D-6FE21BB8D706}" name="Notes" dataDxfId="3"/>
    <tableColumn id="6" xr3:uid="{3DD702FE-12C7-804A-B4D9-A21137DD702D}" name="PersonID" dataDxfId="2"/>
    <tableColumn id="7" xr3:uid="{40138575-5B45-F041-845E-B813821CAD0F}" name="ProjectID" dataDxfId="1"/>
    <tableColumn id="8" xr3:uid="{A7653D85-1008-6D4C-BE22-CA870E206F73}" name="RoleID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rojectAssignments" displayName="tblProjectAssignments" ref="A1:G205" dataDxfId="12">
  <autoFilter ref="A1:G205" xr:uid="{00000000-0009-0000-0100-000006000000}"/>
  <sortState xmlns:xlrd2="http://schemas.microsoft.com/office/spreadsheetml/2017/richdata2" ref="A2:G205">
    <sortCondition ref="A1:A205"/>
  </sortState>
  <tableColumns count="7">
    <tableColumn id="2" xr3:uid="{00000000-0010-0000-0500-000002000000}" name="Person" dataDxfId="19"/>
    <tableColumn id="3" xr3:uid="{00000000-0010-0000-0500-000003000000}" name="Project" dataDxfId="18"/>
    <tableColumn id="4" xr3:uid="{00000000-0010-0000-0500-000004000000}" name="Role" dataDxfId="17"/>
    <tableColumn id="5" xr3:uid="{00000000-0010-0000-0500-000005000000}" name="Notes" dataDxfId="16"/>
    <tableColumn id="6" xr3:uid="{00000000-0010-0000-0500-000006000000}" name="PersonID" dataDxfId="15"/>
    <tableColumn id="7" xr3:uid="{00000000-0010-0000-0500-000007000000}" name="ProjectID" dataDxfId="14"/>
    <tableColumn id="8" xr3:uid="{00000000-0010-0000-0500-000008000000}" name="RoleID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humanaugmente-e7j6563.slack.com/archives/C0A945QPFAL" TargetMode="External"/><Relationship Id="rId13" Type="http://schemas.openxmlformats.org/officeDocument/2006/relationships/hyperlink" Target="https://humanaugmente-e7j6563.slack.com/archives/C0A89U41FHQ" TargetMode="External"/><Relationship Id="rId18" Type="http://schemas.openxmlformats.org/officeDocument/2006/relationships/hyperlink" Target="https://humanaugmente-e7j6563.slack.com/archives/C09C8CEHHGQ" TargetMode="External"/><Relationship Id="rId26" Type="http://schemas.openxmlformats.org/officeDocument/2006/relationships/hyperlink" Target="https://humanaugmente-e7j6563.slack.com/archives/C08SCKVM691" TargetMode="External"/><Relationship Id="rId3" Type="http://schemas.openxmlformats.org/officeDocument/2006/relationships/hyperlink" Target="https://humanaugmente-e7j6563.slack.com/archives/C08SD1NJY06" TargetMode="External"/><Relationship Id="rId21" Type="http://schemas.openxmlformats.org/officeDocument/2006/relationships/hyperlink" Target="https://humanaugmente-e7j6563.slack.com/archives/C0A948X0RNC" TargetMode="External"/><Relationship Id="rId7" Type="http://schemas.openxmlformats.org/officeDocument/2006/relationships/hyperlink" Target="https://gatech.enterprise.slack.com/archives/C08TJJ045NZ" TargetMode="External"/><Relationship Id="rId12" Type="http://schemas.openxmlformats.org/officeDocument/2006/relationships/hyperlink" Target="https://humanaugmente-e7j6563.slack.com/archives/C09BXNEGSHK" TargetMode="External"/><Relationship Id="rId17" Type="http://schemas.openxmlformats.org/officeDocument/2006/relationships/hyperlink" Target="https://humanaugmente-e7j6563.slack.com/archives/C09C8C5GENL" TargetMode="External"/><Relationship Id="rId25" Type="http://schemas.openxmlformats.org/officeDocument/2006/relationships/hyperlink" Target="https://humanaugmente-e7j6563.slack.com/archives/C09C5KVFHL6" TargetMode="External"/><Relationship Id="rId2" Type="http://schemas.openxmlformats.org/officeDocument/2006/relationships/hyperlink" Target="https://humanaugmente-e7j6563.slack.com/archives/C08TN3QJ1FB" TargetMode="External"/><Relationship Id="rId16" Type="http://schemas.openxmlformats.org/officeDocument/2006/relationships/hyperlink" Target="https://humanaugmente-e7j6563.slack.com/archives/C09BK7LMQ04" TargetMode="External"/><Relationship Id="rId20" Type="http://schemas.openxmlformats.org/officeDocument/2006/relationships/hyperlink" Target="https://humanaugmente-e7j6563.slack.com/archives/C0A948PA4AC" TargetMode="External"/><Relationship Id="rId1" Type="http://schemas.openxmlformats.org/officeDocument/2006/relationships/hyperlink" Target="https://humanaugmente-e7j6563.slack.com/archives/C08TNEM1WHF" TargetMode="External"/><Relationship Id="rId6" Type="http://schemas.openxmlformats.org/officeDocument/2006/relationships/hyperlink" Target="https://humanaugmente-e7j6563.slack.com/archives/C08UFQEMA65" TargetMode="External"/><Relationship Id="rId11" Type="http://schemas.openxmlformats.org/officeDocument/2006/relationships/hyperlink" Target="https://humanaugmente-e7j6563.slack.com/archives/C09BSDH3L8L" TargetMode="External"/><Relationship Id="rId24" Type="http://schemas.openxmlformats.org/officeDocument/2006/relationships/hyperlink" Target="https://humanaugmente-e7j6563.slack.com/archives/C0A87MNTFLN" TargetMode="External"/><Relationship Id="rId5" Type="http://schemas.openxmlformats.org/officeDocument/2006/relationships/hyperlink" Target="https://humanaugmente-e7j6563.slack.com/archives/C09BHUF818T" TargetMode="External"/><Relationship Id="rId15" Type="http://schemas.openxmlformats.org/officeDocument/2006/relationships/hyperlink" Target="https://humanaugmente-e7j6563.slack.com/archives/C0A83HMAG11" TargetMode="External"/><Relationship Id="rId23" Type="http://schemas.openxmlformats.org/officeDocument/2006/relationships/hyperlink" Target="https://humanaugmente-e7j6563.slack.com/archives/C087RRSQ615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humanaugmente-e7j6563.slack.com/archives/C0A8NQ94XCH" TargetMode="External"/><Relationship Id="rId19" Type="http://schemas.openxmlformats.org/officeDocument/2006/relationships/hyperlink" Target="https://humanaugmente-e7j6563.slack.com/archives/C09BA8B7LRH" TargetMode="External"/><Relationship Id="rId4" Type="http://schemas.openxmlformats.org/officeDocument/2006/relationships/hyperlink" Target="https://humanaugmente-e7j6563.slack.com/archives/C08SJ33029K" TargetMode="External"/><Relationship Id="rId9" Type="http://schemas.openxmlformats.org/officeDocument/2006/relationships/hyperlink" Target="https://humanaugmente-e7j6563.slack.com/archives/C0A7UDYB8UF" TargetMode="External"/><Relationship Id="rId14" Type="http://schemas.openxmlformats.org/officeDocument/2006/relationships/hyperlink" Target="https://humanaugmente-e7j6563.slack.com/archives/C0A87SYJ84W" TargetMode="External"/><Relationship Id="rId22" Type="http://schemas.openxmlformats.org/officeDocument/2006/relationships/hyperlink" Target="https://discord.com/channels/1370461745608396951/1370462627209281556" TargetMode="External"/><Relationship Id="rId27" Type="http://schemas.openxmlformats.org/officeDocument/2006/relationships/hyperlink" Target="https://gatech.enterprise.slack.com/archives/C08TCRB0DA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1CD7-697C-134E-B812-C58EBE18D140}">
  <dimension ref="A1:I31"/>
  <sheetViews>
    <sheetView workbookViewId="0">
      <selection activeCell="I19" sqref="I19"/>
    </sheetView>
  </sheetViews>
  <sheetFormatPr baseColWidth="10" defaultRowHeight="15" x14ac:dyDescent="0.2"/>
  <cols>
    <col min="1" max="1" width="12.83203125" bestFit="1" customWidth="1"/>
    <col min="2" max="2" width="12.83203125" customWidth="1"/>
    <col min="3" max="3" width="21" bestFit="1" customWidth="1"/>
    <col min="4" max="4" width="21" customWidth="1"/>
    <col min="5" max="5" width="18.6640625" bestFit="1" customWidth="1"/>
    <col min="6" max="6" width="18.6640625" customWidth="1"/>
    <col min="7" max="7" width="31.33203125" bestFit="1" customWidth="1"/>
    <col min="9" max="9" width="18.83203125" bestFit="1" customWidth="1"/>
  </cols>
  <sheetData>
    <row r="1" spans="1:9" ht="16" x14ac:dyDescent="0.2">
      <c r="A1" s="28" t="s">
        <v>10</v>
      </c>
      <c r="C1" s="28" t="s">
        <v>152</v>
      </c>
      <c r="E1" s="28" t="s">
        <v>153</v>
      </c>
      <c r="G1" s="28" t="s">
        <v>19</v>
      </c>
      <c r="I1" s="28" t="s">
        <v>437</v>
      </c>
    </row>
    <row r="2" spans="1:9" x14ac:dyDescent="0.2">
      <c r="A2" t="str" cm="1">
        <f t="array" ref="A2:A13">_xlfn._xlws.SORT(_xlfn._xlws.FILTER(tblEnrollments[Name],tblEnrollments[Enrollment] = "Faculty"))</f>
        <v>Alexander</v>
      </c>
      <c r="C2" t="str" cm="1">
        <f t="array" ref="C2:C28">_xlfn._xlws.SORT(_xlfn._xlws.FILTER(tblEnrollments[Name],tblEnrollments[Enrollment] = "Computational Advisor"))</f>
        <v>Arunachal Syam</v>
      </c>
      <c r="E2" t="str" cm="1">
        <f t="array" ref="E2:E29">_xlfn._xlws.SORT(_xlfn._xlws.FILTER(tblEnrollments[Name],tblEnrollments[Enrollment] = "CS 8803"))</f>
        <v>Abhijeet Sidhu</v>
      </c>
      <c r="G2" t="str" cm="1">
        <f t="array" ref="G2:G31">_xlfn._xlws.SORT(_xlfn._xlws.FILTER(tblProjects[Project Name], tblProjects[Status] = "Active"))</f>
        <v>3D Fossils</v>
      </c>
      <c r="I2" t="s">
        <v>11</v>
      </c>
    </row>
    <row r="3" spans="1:9" x14ac:dyDescent="0.2">
      <c r="A3" t="str">
        <v>Dey</v>
      </c>
      <c r="C3" t="str">
        <v xml:space="preserve">Arushi Sharma </v>
      </c>
      <c r="E3" t="str">
        <v>Ahsan Subzwari</v>
      </c>
      <c r="G3" t="str">
        <v>3D Generative Models</v>
      </c>
      <c r="I3" t="s">
        <v>15</v>
      </c>
    </row>
    <row r="4" spans="1:9" x14ac:dyDescent="0.2">
      <c r="A4" t="str">
        <v>Freeman</v>
      </c>
      <c r="C4" t="str">
        <v>Charlie Clark</v>
      </c>
      <c r="E4" t="str">
        <v>Alexa Accuardi</v>
      </c>
      <c r="G4" t="str">
        <v>3D Modeling</v>
      </c>
      <c r="I4" t="s">
        <v>253</v>
      </c>
    </row>
    <row r="5" spans="1:9" x14ac:dyDescent="0.2">
      <c r="A5" t="str">
        <v>Handika</v>
      </c>
      <c r="C5" t="str">
        <v>Chenwei Xu</v>
      </c>
      <c r="E5" t="str">
        <v>Amr Arafa</v>
      </c>
      <c r="G5" t="str">
        <v>AI for Mental Health</v>
      </c>
      <c r="I5" t="s">
        <v>254</v>
      </c>
    </row>
    <row r="6" spans="1:9" x14ac:dyDescent="0.2">
      <c r="A6" t="str">
        <v>McGuire</v>
      </c>
      <c r="C6" t="str">
        <v>Handika</v>
      </c>
      <c r="E6" t="str">
        <v>Avi Cooper</v>
      </c>
      <c r="G6" t="str">
        <v>Animal Detection</v>
      </c>
      <c r="I6" t="s">
        <v>337</v>
      </c>
    </row>
    <row r="7" spans="1:9" x14ac:dyDescent="0.2">
      <c r="A7" t="str">
        <v>Mukhopadhyay</v>
      </c>
      <c r="C7" t="str">
        <v>Ilia Jahanshahi</v>
      </c>
      <c r="E7" t="str">
        <v>Dima Nabhani</v>
      </c>
      <c r="G7" t="str">
        <v>Animal Detection: Spatial Camera</v>
      </c>
      <c r="I7" t="s">
        <v>10</v>
      </c>
    </row>
    <row r="8" spans="1:9" x14ac:dyDescent="0.2">
      <c r="A8" t="str">
        <v>Mussman</v>
      </c>
      <c r="C8" t="str">
        <v>Imon Banerjee</v>
      </c>
      <c r="E8" t="str">
        <v>Dylan Bona</v>
      </c>
      <c r="G8" t="str">
        <v>BioCosmos</v>
      </c>
      <c r="I8" t="s">
        <v>359</v>
      </c>
    </row>
    <row r="9" spans="1:9" x14ac:dyDescent="0.2">
      <c r="A9" t="str">
        <v>Porto</v>
      </c>
      <c r="C9" t="str">
        <v>Isidora Tourni</v>
      </c>
      <c r="E9" t="str">
        <v>Erwin Estevez</v>
      </c>
      <c r="G9" t="str">
        <v>Bird Audio</v>
      </c>
      <c r="I9" t="s">
        <v>341</v>
      </c>
    </row>
    <row r="10" spans="1:9" x14ac:dyDescent="0.2">
      <c r="A10" t="str">
        <v>Postigilone</v>
      </c>
      <c r="C10" t="str">
        <v>Jacquie Caroll</v>
      </c>
      <c r="E10" t="str">
        <v>Jaskiran Pental</v>
      </c>
      <c r="G10" t="str">
        <v>Bird Behavior</v>
      </c>
    </row>
    <row r="11" spans="1:9" x14ac:dyDescent="0.2">
      <c r="A11" t="str">
        <v>Shi</v>
      </c>
      <c r="C11" t="str">
        <v>Katherine Slenker</v>
      </c>
      <c r="E11" t="str">
        <v>Jimmy Hoang</v>
      </c>
      <c r="G11" t="str">
        <v>Canvas Data</v>
      </c>
    </row>
    <row r="12" spans="1:9" x14ac:dyDescent="0.2">
      <c r="A12" t="str">
        <v>Stroud</v>
      </c>
      <c r="C12" t="str">
        <v>Marco Postiglione</v>
      </c>
      <c r="E12" t="str">
        <v>Kaiyuan Deng</v>
      </c>
      <c r="G12" t="str">
        <v>Charleston Train</v>
      </c>
    </row>
    <row r="13" spans="1:9" x14ac:dyDescent="0.2">
      <c r="A13" t="str">
        <v>Weigel</v>
      </c>
      <c r="C13" t="str">
        <v>Maryam Berijanian</v>
      </c>
      <c r="E13" t="str">
        <v>Kevin Lemus-Medrano</v>
      </c>
      <c r="G13" t="str">
        <v>Ecological Modeling</v>
      </c>
    </row>
    <row r="14" spans="1:9" x14ac:dyDescent="0.2">
      <c r="C14" t="str">
        <v>Nahian Tahmin</v>
      </c>
      <c r="E14" t="str">
        <v>Kiran Patil</v>
      </c>
      <c r="G14" t="str">
        <v>Environmental Clean Up</v>
      </c>
    </row>
    <row r="15" spans="1:9" x14ac:dyDescent="0.2">
      <c r="C15" t="str">
        <v>Navya Annapareddy</v>
      </c>
      <c r="E15" t="str">
        <v>Marco Costa</v>
      </c>
      <c r="G15" t="str">
        <v>Inaturalist Data</v>
      </c>
    </row>
    <row r="16" spans="1:9" x14ac:dyDescent="0.2">
      <c r="C16" t="str">
        <v>Raghu Mulukutla</v>
      </c>
      <c r="E16" t="str">
        <v>Matthew Bailin</v>
      </c>
      <c r="G16" t="str">
        <v>Kernal</v>
      </c>
    </row>
    <row r="17" spans="3:7" x14ac:dyDescent="0.2">
      <c r="C17" t="str">
        <v>Samuel Ruiperez-Campillo</v>
      </c>
      <c r="E17" t="str">
        <v>Nahal Bagheri</v>
      </c>
      <c r="G17" t="str">
        <v>Knowledge Traceability</v>
      </c>
    </row>
    <row r="18" spans="3:7" x14ac:dyDescent="0.2">
      <c r="C18" t="str">
        <v>Sayak Chakrabarty</v>
      </c>
      <c r="E18" t="str">
        <v>Nuria Perez Casas</v>
      </c>
      <c r="G18" t="str">
        <v>Lidar</v>
      </c>
    </row>
    <row r="19" spans="3:7" x14ac:dyDescent="0.2">
      <c r="C19" t="str">
        <v>Sayak Chakrabarty</v>
      </c>
      <c r="E19" t="str">
        <v>Peninah Waweru</v>
      </c>
      <c r="G19" t="str">
        <v>Lizard Classfication</v>
      </c>
    </row>
    <row r="20" spans="3:7" x14ac:dyDescent="0.2">
      <c r="C20" t="str">
        <v>Shane Storks</v>
      </c>
      <c r="E20" t="str">
        <v>Riyam Zaman</v>
      </c>
      <c r="G20" t="str">
        <v>Lizard Movement</v>
      </c>
    </row>
    <row r="21" spans="3:7" x14ac:dyDescent="0.2">
      <c r="C21" t="str">
        <v>Shruti Motiwale</v>
      </c>
      <c r="E21" t="str">
        <v>Sareen Zhang</v>
      </c>
      <c r="G21" t="str">
        <v>Lizard Toe Pad Landmarking</v>
      </c>
    </row>
    <row r="22" spans="3:7" x14ac:dyDescent="0.2">
      <c r="C22" t="str">
        <v>Souradip Pal</v>
      </c>
      <c r="E22" t="str">
        <v>Sebastian Ramirez Vega</v>
      </c>
      <c r="G22" t="str">
        <v>LLM Interpretability</v>
      </c>
    </row>
    <row r="23" spans="3:7" x14ac:dyDescent="0.2">
      <c r="C23" t="str">
        <v>Souradip Pal</v>
      </c>
      <c r="E23" t="str">
        <v>Sophia Nguyen</v>
      </c>
      <c r="G23" t="str">
        <v>Natural History Museum Digital Catalog</v>
      </c>
    </row>
    <row r="24" spans="3:7" x14ac:dyDescent="0.2">
      <c r="C24" t="str">
        <v>Thomas Orth</v>
      </c>
      <c r="E24" t="str">
        <v xml:space="preserve">Srijan Srivatsa </v>
      </c>
      <c r="G24" t="str">
        <v>PFAS Absorbent Search</v>
      </c>
    </row>
    <row r="25" spans="3:7" x14ac:dyDescent="0.2">
      <c r="C25" t="str">
        <v>Tsedeniya Amare</v>
      </c>
      <c r="E25" t="str">
        <v>Subhash Gubba</v>
      </c>
      <c r="G25" t="str">
        <v>Photogrametry</v>
      </c>
    </row>
    <row r="26" spans="3:7" x14ac:dyDescent="0.2">
      <c r="C26" t="str">
        <v>Tuan-Anh Vu</v>
      </c>
      <c r="E26" t="str">
        <v>Terrell Sealey</v>
      </c>
      <c r="G26" t="str">
        <v>R For Evolution</v>
      </c>
    </row>
    <row r="27" spans="3:7" x14ac:dyDescent="0.2">
      <c r="C27" t="str">
        <v>Wolcott</v>
      </c>
      <c r="E27" t="str">
        <v>Thu Le</v>
      </c>
      <c r="G27" t="str">
        <v>Social Network</v>
      </c>
    </row>
    <row r="28" spans="3:7" x14ac:dyDescent="0.2">
      <c r="C28" t="str">
        <v>Yasha Iravantchi</v>
      </c>
      <c r="E28" t="str">
        <v>Vidushi</v>
      </c>
      <c r="G28" t="str">
        <v>Training Batch Selection</v>
      </c>
    </row>
    <row r="29" spans="3:7" x14ac:dyDescent="0.2">
      <c r="E29" t="str">
        <v>Zachary Wallace</v>
      </c>
      <c r="G29" t="str">
        <v>Transcript R</v>
      </c>
    </row>
    <row r="30" spans="3:7" x14ac:dyDescent="0.2">
      <c r="G30" t="str">
        <v>Vector DB</v>
      </c>
    </row>
    <row r="31" spans="3:7" x14ac:dyDescent="0.2">
      <c r="G31" t="str">
        <v>Vector Quantization</v>
      </c>
    </row>
  </sheetData>
  <sortState xmlns:xlrd2="http://schemas.microsoft.com/office/spreadsheetml/2017/richdata2" ref="I2:I9">
    <sortCondition ref="I2:I9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4"/>
  <sheetViews>
    <sheetView showGridLines="0" topLeftCell="A165" workbookViewId="0">
      <selection activeCell="C22" sqref="C22"/>
    </sheetView>
  </sheetViews>
  <sheetFormatPr baseColWidth="10" defaultColWidth="8.83203125" defaultRowHeight="15" x14ac:dyDescent="0.2"/>
  <cols>
    <col min="1" max="1" width="30" bestFit="1" customWidth="1"/>
    <col min="2" max="2" width="30.1640625" customWidth="1"/>
    <col min="3" max="3" width="156.33203125" style="27" bestFit="1" customWidth="1"/>
  </cols>
  <sheetData>
    <row r="1" spans="1:3" ht="22" customHeight="1" x14ac:dyDescent="0.2">
      <c r="A1" s="1" t="s">
        <v>1</v>
      </c>
      <c r="B1" s="1" t="s">
        <v>2</v>
      </c>
      <c r="C1" s="26" t="s">
        <v>3</v>
      </c>
    </row>
    <row r="2" spans="1:3" ht="16" x14ac:dyDescent="0.2">
      <c r="A2" s="11" t="s">
        <v>168</v>
      </c>
      <c r="B2" s="5" t="s">
        <v>169</v>
      </c>
      <c r="C2" s="29"/>
    </row>
    <row r="3" spans="1:3" x14ac:dyDescent="0.2">
      <c r="A3" s="5" t="s">
        <v>30</v>
      </c>
      <c r="B3" s="12"/>
      <c r="C3" s="16"/>
    </row>
    <row r="4" spans="1:3" x14ac:dyDescent="0.2">
      <c r="A4" s="5" t="s">
        <v>29</v>
      </c>
      <c r="B4" s="12"/>
      <c r="C4" s="16"/>
    </row>
    <row r="5" spans="1:3" x14ac:dyDescent="0.2">
      <c r="A5" s="5" t="s">
        <v>170</v>
      </c>
      <c r="B5" s="5" t="s">
        <v>171</v>
      </c>
      <c r="C5" s="29"/>
    </row>
    <row r="6" spans="1:3" x14ac:dyDescent="0.2">
      <c r="A6" s="10" t="s">
        <v>395</v>
      </c>
      <c r="B6" s="10" t="s">
        <v>394</v>
      </c>
      <c r="C6" s="29"/>
    </row>
    <row r="7" spans="1:3" ht="16" x14ac:dyDescent="0.2">
      <c r="A7" s="12" t="s">
        <v>345</v>
      </c>
      <c r="B7" s="5" t="s">
        <v>351</v>
      </c>
      <c r="C7" s="29"/>
    </row>
    <row r="8" spans="1:3" x14ac:dyDescent="0.2">
      <c r="A8" s="5" t="s">
        <v>172</v>
      </c>
      <c r="B8" s="5" t="s">
        <v>173</v>
      </c>
      <c r="C8" s="29"/>
    </row>
    <row r="9" spans="1:3" x14ac:dyDescent="0.2">
      <c r="A9" s="5" t="s">
        <v>174</v>
      </c>
      <c r="B9" s="5" t="s">
        <v>175</v>
      </c>
      <c r="C9" s="29"/>
    </row>
    <row r="10" spans="1:3" x14ac:dyDescent="0.2">
      <c r="A10" s="5" t="s">
        <v>28</v>
      </c>
      <c r="B10" s="12"/>
      <c r="C10" s="16"/>
    </row>
    <row r="11" spans="1:3" x14ac:dyDescent="0.2">
      <c r="A11" s="5" t="s">
        <v>176</v>
      </c>
      <c r="B11" s="5" t="s">
        <v>177</v>
      </c>
      <c r="C11" s="29"/>
    </row>
    <row r="12" spans="1:3" x14ac:dyDescent="0.2">
      <c r="A12" s="30" t="s">
        <v>401</v>
      </c>
      <c r="B12" s="5" t="s">
        <v>402</v>
      </c>
      <c r="C12" s="29"/>
    </row>
    <row r="13" spans="1:3" x14ac:dyDescent="0.2">
      <c r="A13" s="30" t="s">
        <v>356</v>
      </c>
      <c r="B13" s="5" t="s">
        <v>357</v>
      </c>
      <c r="C13" s="29"/>
    </row>
    <row r="14" spans="1:3" x14ac:dyDescent="0.2">
      <c r="A14" s="5" t="s">
        <v>123</v>
      </c>
      <c r="B14" s="5"/>
      <c r="C14" s="29"/>
    </row>
    <row r="15" spans="1:3" ht="16" x14ac:dyDescent="0.2">
      <c r="A15" s="11" t="s">
        <v>178</v>
      </c>
      <c r="B15" s="5" t="s">
        <v>179</v>
      </c>
      <c r="C15" s="29"/>
    </row>
    <row r="16" spans="1:3" x14ac:dyDescent="0.2">
      <c r="A16" s="5" t="s">
        <v>380</v>
      </c>
      <c r="B16" s="5" t="s">
        <v>381</v>
      </c>
      <c r="C16" s="29"/>
    </row>
    <row r="17" spans="1:3" ht="16" x14ac:dyDescent="0.2">
      <c r="A17" s="12" t="s">
        <v>347</v>
      </c>
      <c r="B17" s="5" t="s">
        <v>353</v>
      </c>
      <c r="C17" s="29"/>
    </row>
    <row r="18" spans="1:3" x14ac:dyDescent="0.2">
      <c r="A18" s="5" t="s">
        <v>180</v>
      </c>
      <c r="B18" s="5" t="s">
        <v>181</v>
      </c>
      <c r="C18" s="29"/>
    </row>
    <row r="19" spans="1:3" x14ac:dyDescent="0.2">
      <c r="A19" s="5" t="s">
        <v>182</v>
      </c>
      <c r="B19" s="5" t="s">
        <v>183</v>
      </c>
      <c r="C19" s="29"/>
    </row>
    <row r="20" spans="1:3" x14ac:dyDescent="0.2">
      <c r="A20" s="5" t="s">
        <v>244</v>
      </c>
      <c r="B20" s="5" t="s">
        <v>245</v>
      </c>
      <c r="C20" s="29"/>
    </row>
    <row r="21" spans="1:3" x14ac:dyDescent="0.2">
      <c r="A21" s="5" t="s">
        <v>349</v>
      </c>
      <c r="B21" s="5" t="s">
        <v>355</v>
      </c>
      <c r="C21" s="29"/>
    </row>
    <row r="22" spans="1:3" x14ac:dyDescent="0.2">
      <c r="A22" s="5" t="s">
        <v>184</v>
      </c>
      <c r="B22" s="5" t="s">
        <v>185</v>
      </c>
      <c r="C22" s="29"/>
    </row>
    <row r="23" spans="1:3" x14ac:dyDescent="0.2">
      <c r="A23" s="5" t="s">
        <v>396</v>
      </c>
      <c r="B23" s="5" t="s">
        <v>393</v>
      </c>
      <c r="C23" s="29"/>
    </row>
    <row r="24" spans="1:3" x14ac:dyDescent="0.2">
      <c r="A24" s="5" t="s">
        <v>186</v>
      </c>
      <c r="B24" s="5" t="s">
        <v>187</v>
      </c>
      <c r="C24" s="29"/>
    </row>
    <row r="25" spans="1:3" x14ac:dyDescent="0.2">
      <c r="A25" s="5" t="s">
        <v>41</v>
      </c>
      <c r="B25" s="12"/>
      <c r="C25" s="16"/>
    </row>
    <row r="26" spans="1:3" x14ac:dyDescent="0.2">
      <c r="A26" s="5" t="s">
        <v>154</v>
      </c>
      <c r="B26" s="5" t="s">
        <v>155</v>
      </c>
      <c r="C26" s="29"/>
    </row>
    <row r="27" spans="1:3" x14ac:dyDescent="0.2">
      <c r="A27" s="30" t="s">
        <v>358</v>
      </c>
      <c r="B27" s="30"/>
      <c r="C27" s="29"/>
    </row>
    <row r="28" spans="1:3" x14ac:dyDescent="0.2">
      <c r="A28" s="16" t="s">
        <v>188</v>
      </c>
      <c r="B28" s="5" t="s">
        <v>189</v>
      </c>
      <c r="C28" s="29"/>
    </row>
    <row r="29" spans="1:3" x14ac:dyDescent="0.2">
      <c r="A29" s="5" t="s">
        <v>335</v>
      </c>
      <c r="B29" s="5" t="s">
        <v>336</v>
      </c>
      <c r="C29" s="29"/>
    </row>
    <row r="30" spans="1:3" ht="16" x14ac:dyDescent="0.2">
      <c r="A30" s="15" t="s">
        <v>363</v>
      </c>
      <c r="B30" s="5" t="s">
        <v>364</v>
      </c>
      <c r="C30" s="31"/>
    </row>
    <row r="31" spans="1:3" x14ac:dyDescent="0.2">
      <c r="A31" s="5" t="s">
        <v>255</v>
      </c>
      <c r="B31" s="5" t="s">
        <v>256</v>
      </c>
      <c r="C31" s="29"/>
    </row>
    <row r="32" spans="1:3" x14ac:dyDescent="0.2">
      <c r="A32" s="5" t="s">
        <v>257</v>
      </c>
      <c r="B32" s="5" t="s">
        <v>258</v>
      </c>
      <c r="C32" s="29"/>
    </row>
    <row r="33" spans="1:3" x14ac:dyDescent="0.2">
      <c r="A33" s="5" t="s">
        <v>259</v>
      </c>
      <c r="B33" s="5" t="s">
        <v>260</v>
      </c>
      <c r="C33" s="29"/>
    </row>
    <row r="34" spans="1:3" x14ac:dyDescent="0.2">
      <c r="A34" s="5" t="s">
        <v>367</v>
      </c>
      <c r="B34" s="5"/>
      <c r="C34" s="29"/>
    </row>
    <row r="35" spans="1:3" x14ac:dyDescent="0.2">
      <c r="A35" s="5" t="s">
        <v>261</v>
      </c>
      <c r="B35" s="5" t="s">
        <v>262</v>
      </c>
      <c r="C35" s="29"/>
    </row>
    <row r="36" spans="1:3" x14ac:dyDescent="0.2">
      <c r="A36" s="5" t="s">
        <v>263</v>
      </c>
      <c r="B36" s="5" t="s">
        <v>264</v>
      </c>
      <c r="C36" s="29"/>
    </row>
    <row r="37" spans="1:3" ht="16" x14ac:dyDescent="0.2">
      <c r="A37" s="11" t="s">
        <v>263</v>
      </c>
      <c r="B37" s="30" t="s">
        <v>264</v>
      </c>
      <c r="C37" s="29"/>
    </row>
    <row r="38" spans="1:3" x14ac:dyDescent="0.2">
      <c r="A38" s="5" t="s">
        <v>190</v>
      </c>
      <c r="B38" s="5" t="s">
        <v>191</v>
      </c>
      <c r="C38" s="29"/>
    </row>
    <row r="39" spans="1:3" x14ac:dyDescent="0.2">
      <c r="A39" s="5" t="s">
        <v>265</v>
      </c>
      <c r="B39" s="5" t="s">
        <v>266</v>
      </c>
      <c r="C39" s="29"/>
    </row>
    <row r="40" spans="1:3" x14ac:dyDescent="0.2">
      <c r="A40" s="5" t="s">
        <v>192</v>
      </c>
      <c r="B40" s="5" t="s">
        <v>193</v>
      </c>
      <c r="C40" s="29"/>
    </row>
    <row r="41" spans="1:3" x14ac:dyDescent="0.2">
      <c r="A41" s="5" t="s">
        <v>194</v>
      </c>
      <c r="B41" s="5" t="s">
        <v>195</v>
      </c>
      <c r="C41" s="29"/>
    </row>
    <row r="42" spans="1:3" x14ac:dyDescent="0.2">
      <c r="A42" s="5" t="s">
        <v>196</v>
      </c>
      <c r="B42" s="5" t="s">
        <v>197</v>
      </c>
      <c r="C42" s="29"/>
    </row>
    <row r="43" spans="1:3" x14ac:dyDescent="0.2">
      <c r="A43" s="5" t="s">
        <v>26</v>
      </c>
      <c r="B43" s="12"/>
      <c r="C43" s="16"/>
    </row>
    <row r="44" spans="1:3" x14ac:dyDescent="0.2">
      <c r="A44" s="5" t="s">
        <v>39</v>
      </c>
      <c r="B44" s="12"/>
      <c r="C44" s="16"/>
    </row>
    <row r="45" spans="1:3" x14ac:dyDescent="0.2">
      <c r="A45" s="5" t="s">
        <v>391</v>
      </c>
      <c r="B45" s="5" t="s">
        <v>392</v>
      </c>
      <c r="C45" s="29"/>
    </row>
    <row r="46" spans="1:3" ht="16" x14ac:dyDescent="0.2">
      <c r="A46" s="15" t="s">
        <v>374</v>
      </c>
      <c r="B46" s="5" t="s">
        <v>375</v>
      </c>
      <c r="C46" s="31"/>
    </row>
    <row r="47" spans="1:3" x14ac:dyDescent="0.2">
      <c r="A47" s="5" t="s">
        <v>198</v>
      </c>
      <c r="B47" s="5" t="s">
        <v>199</v>
      </c>
      <c r="C47" s="29"/>
    </row>
    <row r="48" spans="1:3" x14ac:dyDescent="0.2">
      <c r="A48" s="5" t="s">
        <v>42</v>
      </c>
      <c r="B48" s="12"/>
      <c r="C48" s="16"/>
    </row>
    <row r="49" spans="1:3" x14ac:dyDescent="0.2">
      <c r="A49" s="5" t="s">
        <v>267</v>
      </c>
      <c r="B49" s="5" t="s">
        <v>268</v>
      </c>
      <c r="C49" s="29"/>
    </row>
    <row r="50" spans="1:3" x14ac:dyDescent="0.2">
      <c r="A50" s="5" t="s">
        <v>269</v>
      </c>
      <c r="B50" s="5" t="s">
        <v>270</v>
      </c>
      <c r="C50" s="29"/>
    </row>
    <row r="51" spans="1:3" x14ac:dyDescent="0.2">
      <c r="A51" s="5" t="s">
        <v>162</v>
      </c>
      <c r="B51" s="5" t="s">
        <v>163</v>
      </c>
      <c r="C51" s="29"/>
    </row>
    <row r="52" spans="1:3" x14ac:dyDescent="0.2">
      <c r="A52" s="5" t="s">
        <v>200</v>
      </c>
      <c r="B52" s="5" t="s">
        <v>201</v>
      </c>
      <c r="C52" s="29"/>
    </row>
    <row r="53" spans="1:3" x14ac:dyDescent="0.2">
      <c r="A53" s="16" t="s">
        <v>236</v>
      </c>
      <c r="B53" s="5" t="s">
        <v>237</v>
      </c>
      <c r="C53" s="29"/>
    </row>
    <row r="54" spans="1:3" x14ac:dyDescent="0.2">
      <c r="A54" s="5" t="s">
        <v>271</v>
      </c>
      <c r="B54" s="5" t="s">
        <v>272</v>
      </c>
      <c r="C54" s="29"/>
    </row>
    <row r="55" spans="1:3" x14ac:dyDescent="0.2">
      <c r="A55" s="5" t="s">
        <v>339</v>
      </c>
      <c r="B55" s="5" t="s">
        <v>340</v>
      </c>
      <c r="C55" s="29"/>
    </row>
    <row r="56" spans="1:3" x14ac:dyDescent="0.2">
      <c r="A56" s="5" t="s">
        <v>202</v>
      </c>
      <c r="B56" s="5" t="s">
        <v>203</v>
      </c>
      <c r="C56" s="29"/>
    </row>
    <row r="57" spans="1:3" ht="16" x14ac:dyDescent="0.2">
      <c r="A57" s="11" t="s">
        <v>204</v>
      </c>
      <c r="B57" s="5" t="s">
        <v>205</v>
      </c>
      <c r="C57" s="29"/>
    </row>
    <row r="58" spans="1:3" x14ac:dyDescent="0.2">
      <c r="A58" s="5" t="s">
        <v>240</v>
      </c>
      <c r="B58" s="5" t="s">
        <v>241</v>
      </c>
      <c r="C58" s="29"/>
    </row>
    <row r="59" spans="1:3" x14ac:dyDescent="0.2">
      <c r="A59" s="5" t="s">
        <v>242</v>
      </c>
      <c r="B59" s="5" t="s">
        <v>243</v>
      </c>
      <c r="C59" s="29"/>
    </row>
    <row r="60" spans="1:3" x14ac:dyDescent="0.2">
      <c r="A60" s="16" t="s">
        <v>206</v>
      </c>
      <c r="B60" s="5" t="s">
        <v>207</v>
      </c>
      <c r="C60" s="29"/>
    </row>
    <row r="61" spans="1:3" x14ac:dyDescent="0.2">
      <c r="A61" s="5" t="s">
        <v>34</v>
      </c>
      <c r="B61" s="12"/>
      <c r="C61" s="16"/>
    </row>
    <row r="62" spans="1:3" x14ac:dyDescent="0.2">
      <c r="A62" s="5" t="s">
        <v>273</v>
      </c>
      <c r="B62" s="5" t="s">
        <v>274</v>
      </c>
      <c r="C62" s="29"/>
    </row>
    <row r="63" spans="1:3" x14ac:dyDescent="0.2">
      <c r="A63" s="5" t="s">
        <v>275</v>
      </c>
      <c r="B63" s="5" t="s">
        <v>276</v>
      </c>
      <c r="C63" s="29"/>
    </row>
    <row r="64" spans="1:3" x14ac:dyDescent="0.2">
      <c r="A64" s="5" t="s">
        <v>277</v>
      </c>
      <c r="B64" s="5" t="s">
        <v>278</v>
      </c>
      <c r="C64" s="29"/>
    </row>
    <row r="65" spans="1:3" x14ac:dyDescent="0.2">
      <c r="A65" s="5" t="s">
        <v>22</v>
      </c>
      <c r="B65" s="12"/>
      <c r="C65" s="16"/>
    </row>
    <row r="66" spans="1:3" ht="16" x14ac:dyDescent="0.2">
      <c r="A66" s="12" t="s">
        <v>387</v>
      </c>
      <c r="B66" s="5" t="s">
        <v>388</v>
      </c>
      <c r="C66" s="29"/>
    </row>
    <row r="67" spans="1:3" x14ac:dyDescent="0.2">
      <c r="A67" s="5" t="s">
        <v>208</v>
      </c>
      <c r="B67" s="5" t="s">
        <v>209</v>
      </c>
      <c r="C67" s="29"/>
    </row>
    <row r="68" spans="1:3" ht="16" x14ac:dyDescent="0.2">
      <c r="A68" s="12" t="s">
        <v>344</v>
      </c>
      <c r="B68" s="5" t="s">
        <v>350</v>
      </c>
      <c r="C68" s="29"/>
    </row>
    <row r="69" spans="1:3" x14ac:dyDescent="0.2">
      <c r="A69" s="5" t="s">
        <v>210</v>
      </c>
      <c r="B69" s="5" t="s">
        <v>211</v>
      </c>
      <c r="C69" s="29"/>
    </row>
    <row r="70" spans="1:3" x14ac:dyDescent="0.2">
      <c r="A70" s="5" t="s">
        <v>279</v>
      </c>
      <c r="B70" s="5" t="s">
        <v>280</v>
      </c>
      <c r="C70" s="29"/>
    </row>
    <row r="71" spans="1:3" x14ac:dyDescent="0.2">
      <c r="A71" s="5" t="s">
        <v>281</v>
      </c>
      <c r="B71" s="5" t="s">
        <v>282</v>
      </c>
      <c r="C71" s="29"/>
    </row>
    <row r="72" spans="1:3" x14ac:dyDescent="0.2">
      <c r="A72" s="5" t="s">
        <v>283</v>
      </c>
      <c r="B72" s="5" t="s">
        <v>284</v>
      </c>
      <c r="C72" s="29"/>
    </row>
    <row r="73" spans="1:3" x14ac:dyDescent="0.2">
      <c r="A73" s="5" t="s">
        <v>285</v>
      </c>
      <c r="B73" s="5" t="s">
        <v>286</v>
      </c>
      <c r="C73" s="29"/>
    </row>
    <row r="74" spans="1:3" x14ac:dyDescent="0.2">
      <c r="A74" s="5" t="s">
        <v>246</v>
      </c>
      <c r="B74" s="5" t="s">
        <v>247</v>
      </c>
      <c r="C74" s="29"/>
    </row>
    <row r="75" spans="1:3" ht="16" x14ac:dyDescent="0.2">
      <c r="A75" s="12" t="s">
        <v>246</v>
      </c>
      <c r="B75" s="5" t="s">
        <v>247</v>
      </c>
      <c r="C75" s="29"/>
    </row>
    <row r="76" spans="1:3" x14ac:dyDescent="0.2">
      <c r="A76" s="5" t="s">
        <v>287</v>
      </c>
      <c r="B76" s="5" t="s">
        <v>288</v>
      </c>
      <c r="C76" s="29"/>
    </row>
    <row r="77" spans="1:3" x14ac:dyDescent="0.2">
      <c r="A77" s="5" t="s">
        <v>120</v>
      </c>
      <c r="B77" s="5"/>
      <c r="C77" s="29"/>
    </row>
    <row r="78" spans="1:3" x14ac:dyDescent="0.2">
      <c r="A78" s="5" t="s">
        <v>212</v>
      </c>
      <c r="B78" s="5" t="s">
        <v>213</v>
      </c>
      <c r="C78" s="29"/>
    </row>
    <row r="79" spans="1:3" x14ac:dyDescent="0.2">
      <c r="A79" s="5" t="s">
        <v>289</v>
      </c>
      <c r="B79" s="5" t="s">
        <v>290</v>
      </c>
      <c r="C79" s="29"/>
    </row>
    <row r="80" spans="1:3" x14ac:dyDescent="0.2">
      <c r="A80" s="5" t="s">
        <v>24</v>
      </c>
      <c r="B80" s="12"/>
      <c r="C80" s="16"/>
    </row>
    <row r="81" spans="1:3" x14ac:dyDescent="0.2">
      <c r="A81" s="5" t="s">
        <v>158</v>
      </c>
      <c r="B81" s="5" t="s">
        <v>159</v>
      </c>
      <c r="C81" s="29"/>
    </row>
    <row r="82" spans="1:3" x14ac:dyDescent="0.2">
      <c r="A82" s="5" t="s">
        <v>122</v>
      </c>
      <c r="B82" s="5"/>
      <c r="C82" s="29"/>
    </row>
    <row r="83" spans="1:3" x14ac:dyDescent="0.2">
      <c r="A83" s="16" t="s">
        <v>160</v>
      </c>
      <c r="B83" s="5" t="s">
        <v>161</v>
      </c>
      <c r="C83" s="29"/>
    </row>
    <row r="84" spans="1:3" x14ac:dyDescent="0.2">
      <c r="A84" s="5" t="s">
        <v>291</v>
      </c>
      <c r="B84" s="5" t="s">
        <v>292</v>
      </c>
      <c r="C84" s="29"/>
    </row>
    <row r="85" spans="1:3" ht="16" x14ac:dyDescent="0.2">
      <c r="A85" s="12" t="s">
        <v>346</v>
      </c>
      <c r="B85" s="5" t="s">
        <v>352</v>
      </c>
      <c r="C85" s="29"/>
    </row>
    <row r="86" spans="1:3" ht="16" x14ac:dyDescent="0.2">
      <c r="A86" s="18" t="s">
        <v>214</v>
      </c>
      <c r="B86" s="5" t="s">
        <v>215</v>
      </c>
      <c r="C86" s="29"/>
    </row>
    <row r="87" spans="1:3" x14ac:dyDescent="0.2">
      <c r="A87" s="19" t="s">
        <v>216</v>
      </c>
      <c r="B87" s="5" t="s">
        <v>217</v>
      </c>
      <c r="C87" s="29"/>
    </row>
    <row r="88" spans="1:3" x14ac:dyDescent="0.2">
      <c r="A88" s="5" t="s">
        <v>164</v>
      </c>
      <c r="B88" s="5" t="s">
        <v>165</v>
      </c>
      <c r="C88" s="29"/>
    </row>
    <row r="89" spans="1:3" ht="16" x14ac:dyDescent="0.2">
      <c r="A89" s="11" t="s">
        <v>365</v>
      </c>
      <c r="B89" s="5" t="s">
        <v>366</v>
      </c>
      <c r="C89" s="29"/>
    </row>
    <row r="90" spans="1:3" x14ac:dyDescent="0.2">
      <c r="A90" s="5" t="s">
        <v>293</v>
      </c>
      <c r="B90" s="5" t="s">
        <v>294</v>
      </c>
      <c r="C90" s="29"/>
    </row>
    <row r="91" spans="1:3" x14ac:dyDescent="0.2">
      <c r="A91" s="5" t="s">
        <v>36</v>
      </c>
      <c r="B91" s="12"/>
      <c r="C91" s="16"/>
    </row>
    <row r="92" spans="1:3" x14ac:dyDescent="0.2">
      <c r="A92" s="5" t="s">
        <v>295</v>
      </c>
      <c r="B92" s="5" t="s">
        <v>296</v>
      </c>
      <c r="C92" s="29"/>
    </row>
    <row r="93" spans="1:3" x14ac:dyDescent="0.2">
      <c r="A93" s="20" t="s">
        <v>37</v>
      </c>
      <c r="B93" s="12"/>
      <c r="C93" s="16"/>
    </row>
    <row r="94" spans="1:3" x14ac:dyDescent="0.2">
      <c r="A94" s="5" t="s">
        <v>297</v>
      </c>
      <c r="B94" s="5" t="s">
        <v>298</v>
      </c>
      <c r="C94" s="29"/>
    </row>
    <row r="95" spans="1:3" x14ac:dyDescent="0.2">
      <c r="A95" s="20" t="s">
        <v>25</v>
      </c>
      <c r="B95" s="12"/>
      <c r="C95" s="16"/>
    </row>
    <row r="96" spans="1:3" x14ac:dyDescent="0.2">
      <c r="A96" s="5" t="s">
        <v>218</v>
      </c>
      <c r="B96" s="5" t="s">
        <v>219</v>
      </c>
      <c r="C96" s="29"/>
    </row>
    <row r="97" spans="1:3" x14ac:dyDescent="0.2">
      <c r="A97" s="5" t="s">
        <v>299</v>
      </c>
      <c r="B97" s="5" t="s">
        <v>300</v>
      </c>
      <c r="C97" s="29"/>
    </row>
    <row r="98" spans="1:3" x14ac:dyDescent="0.2">
      <c r="A98" s="5" t="s">
        <v>389</v>
      </c>
      <c r="B98" s="5" t="s">
        <v>390</v>
      </c>
      <c r="C98" s="29"/>
    </row>
    <row r="99" spans="1:3" x14ac:dyDescent="0.2">
      <c r="A99" s="5" t="s">
        <v>248</v>
      </c>
      <c r="B99" s="5" t="s">
        <v>249</v>
      </c>
      <c r="C99" s="29"/>
    </row>
    <row r="100" spans="1:3" x14ac:dyDescent="0.2">
      <c r="A100" s="5" t="s">
        <v>301</v>
      </c>
      <c r="B100" s="5" t="s">
        <v>302</v>
      </c>
      <c r="C100" s="29"/>
    </row>
    <row r="101" spans="1:3" x14ac:dyDescent="0.2">
      <c r="A101" s="5" t="s">
        <v>31</v>
      </c>
      <c r="B101" s="12"/>
      <c r="C101" s="16"/>
    </row>
    <row r="102" spans="1:3" x14ac:dyDescent="0.2">
      <c r="A102" s="5" t="s">
        <v>220</v>
      </c>
      <c r="B102" s="5" t="s">
        <v>221</v>
      </c>
      <c r="C102" s="29"/>
    </row>
    <row r="103" spans="1:3" ht="16" x14ac:dyDescent="0.2">
      <c r="A103" s="12" t="s">
        <v>348</v>
      </c>
      <c r="B103" s="5" t="s">
        <v>354</v>
      </c>
      <c r="C103" s="29"/>
    </row>
    <row r="104" spans="1:3" x14ac:dyDescent="0.2">
      <c r="A104" s="21" t="s">
        <v>250</v>
      </c>
      <c r="B104" s="5" t="s">
        <v>251</v>
      </c>
      <c r="C104" s="29"/>
    </row>
    <row r="105" spans="1:3" x14ac:dyDescent="0.2">
      <c r="A105" s="5" t="s">
        <v>121</v>
      </c>
      <c r="B105" s="5"/>
      <c r="C105" s="29"/>
    </row>
    <row r="106" spans="1:3" x14ac:dyDescent="0.2">
      <c r="A106" s="5" t="s">
        <v>222</v>
      </c>
      <c r="B106" s="5" t="s">
        <v>223</v>
      </c>
      <c r="C106" s="29"/>
    </row>
    <row r="107" spans="1:3" x14ac:dyDescent="0.2">
      <c r="A107" s="5" t="s">
        <v>303</v>
      </c>
      <c r="B107" s="5" t="s">
        <v>304</v>
      </c>
      <c r="C107" s="29"/>
    </row>
    <row r="108" spans="1:3" x14ac:dyDescent="0.2">
      <c r="A108" s="5" t="s">
        <v>224</v>
      </c>
      <c r="B108" s="5" t="s">
        <v>225</v>
      </c>
      <c r="C108" s="29"/>
    </row>
    <row r="109" spans="1:3" x14ac:dyDescent="0.2">
      <c r="A109" s="5" t="s">
        <v>305</v>
      </c>
      <c r="B109" s="5" t="s">
        <v>306</v>
      </c>
      <c r="C109" s="29"/>
    </row>
    <row r="110" spans="1:3" x14ac:dyDescent="0.2">
      <c r="A110" s="5" t="s">
        <v>307</v>
      </c>
      <c r="B110" s="5" t="s">
        <v>308</v>
      </c>
      <c r="C110" s="29"/>
    </row>
    <row r="111" spans="1:3" x14ac:dyDescent="0.2">
      <c r="A111" s="5" t="s">
        <v>309</v>
      </c>
      <c r="B111" s="5" t="s">
        <v>310</v>
      </c>
      <c r="C111" s="29"/>
    </row>
    <row r="112" spans="1:3" x14ac:dyDescent="0.2">
      <c r="A112" s="5" t="s">
        <v>21</v>
      </c>
      <c r="B112" s="12"/>
      <c r="C112" s="16"/>
    </row>
    <row r="113" spans="1:3" x14ac:dyDescent="0.2">
      <c r="A113" s="16" t="s">
        <v>226</v>
      </c>
      <c r="B113" s="5" t="s">
        <v>227</v>
      </c>
      <c r="C113" s="29"/>
    </row>
    <row r="114" spans="1:3" x14ac:dyDescent="0.2">
      <c r="A114" s="30" t="s">
        <v>378</v>
      </c>
      <c r="B114" s="5" t="s">
        <v>379</v>
      </c>
      <c r="C114" s="29"/>
    </row>
    <row r="115" spans="1:3" x14ac:dyDescent="0.2">
      <c r="A115" s="5" t="s">
        <v>311</v>
      </c>
      <c r="B115" s="5" t="s">
        <v>312</v>
      </c>
      <c r="C115" s="29"/>
    </row>
    <row r="116" spans="1:3" x14ac:dyDescent="0.2">
      <c r="A116" s="5" t="s">
        <v>228</v>
      </c>
      <c r="B116" s="5" t="s">
        <v>229</v>
      </c>
      <c r="C116" s="29"/>
    </row>
    <row r="117" spans="1:3" x14ac:dyDescent="0.2">
      <c r="A117" s="5" t="s">
        <v>333</v>
      </c>
      <c r="B117" s="5" t="s">
        <v>334</v>
      </c>
      <c r="C117" s="29"/>
    </row>
    <row r="118" spans="1:3" x14ac:dyDescent="0.2">
      <c r="A118" s="5" t="s">
        <v>40</v>
      </c>
      <c r="B118" s="12"/>
      <c r="C118" s="16"/>
    </row>
    <row r="119" spans="1:3" x14ac:dyDescent="0.2">
      <c r="A119" s="5" t="s">
        <v>313</v>
      </c>
      <c r="B119" s="5" t="s">
        <v>314</v>
      </c>
      <c r="C119" s="29"/>
    </row>
    <row r="120" spans="1:3" x14ac:dyDescent="0.2">
      <c r="A120" s="5" t="s">
        <v>35</v>
      </c>
      <c r="B120" s="12"/>
      <c r="C120" s="16"/>
    </row>
    <row r="121" spans="1:3" x14ac:dyDescent="0.2">
      <c r="A121" s="5" t="s">
        <v>156</v>
      </c>
      <c r="B121" s="5" t="s">
        <v>157</v>
      </c>
      <c r="C121" s="29"/>
    </row>
    <row r="122" spans="1:3" x14ac:dyDescent="0.2">
      <c r="A122" s="5" t="s">
        <v>315</v>
      </c>
      <c r="B122" s="5" t="s">
        <v>316</v>
      </c>
      <c r="C122" s="29"/>
    </row>
    <row r="123" spans="1:3" ht="16" x14ac:dyDescent="0.2">
      <c r="A123" s="12" t="s">
        <v>409</v>
      </c>
      <c r="B123" s="5" t="s">
        <v>412</v>
      </c>
      <c r="C123" s="29"/>
    </row>
    <row r="124" spans="1:3" x14ac:dyDescent="0.2">
      <c r="A124" s="5" t="s">
        <v>119</v>
      </c>
      <c r="B124" s="5"/>
      <c r="C124" s="29"/>
    </row>
    <row r="125" spans="1:3" x14ac:dyDescent="0.2">
      <c r="A125" s="5" t="s">
        <v>32</v>
      </c>
      <c r="B125" s="12"/>
      <c r="C125" s="16"/>
    </row>
    <row r="126" spans="1:3" x14ac:dyDescent="0.2">
      <c r="A126" s="5" t="s">
        <v>43</v>
      </c>
      <c r="B126" s="12"/>
      <c r="C126" s="16"/>
    </row>
    <row r="127" spans="1:3" ht="16" x14ac:dyDescent="0.2">
      <c r="A127" s="12" t="s">
        <v>413</v>
      </c>
      <c r="B127" s="5" t="s">
        <v>414</v>
      </c>
      <c r="C127" s="29"/>
    </row>
    <row r="128" spans="1:3" x14ac:dyDescent="0.2">
      <c r="A128" s="5" t="s">
        <v>317</v>
      </c>
      <c r="B128" s="5" t="s">
        <v>318</v>
      </c>
      <c r="C128" s="29"/>
    </row>
    <row r="129" spans="1:3" x14ac:dyDescent="0.2">
      <c r="A129" s="5" t="s">
        <v>319</v>
      </c>
      <c r="B129" s="5" t="s">
        <v>320</v>
      </c>
      <c r="C129" s="29"/>
    </row>
    <row r="130" spans="1:3" x14ac:dyDescent="0.2">
      <c r="A130" s="32" t="s">
        <v>321</v>
      </c>
      <c r="B130" s="5" t="s">
        <v>322</v>
      </c>
      <c r="C130" s="29"/>
    </row>
    <row r="131" spans="1:3" x14ac:dyDescent="0.2">
      <c r="A131" s="5" t="s">
        <v>323</v>
      </c>
      <c r="B131" s="5" t="s">
        <v>324</v>
      </c>
      <c r="C131" s="29"/>
    </row>
    <row r="132" spans="1:3" x14ac:dyDescent="0.2">
      <c r="A132" s="5" t="s">
        <v>20</v>
      </c>
      <c r="B132" s="12"/>
      <c r="C132" s="16"/>
    </row>
    <row r="133" spans="1:3" x14ac:dyDescent="0.2">
      <c r="A133" s="5" t="s">
        <v>33</v>
      </c>
      <c r="B133" s="12"/>
      <c r="C133" s="16"/>
    </row>
    <row r="134" spans="1:3" x14ac:dyDescent="0.2">
      <c r="A134" s="5" t="s">
        <v>325</v>
      </c>
      <c r="B134" s="5" t="s">
        <v>326</v>
      </c>
      <c r="C134" s="29"/>
    </row>
    <row r="135" spans="1:3" ht="16" x14ac:dyDescent="0.2">
      <c r="A135" s="12" t="s">
        <v>370</v>
      </c>
      <c r="B135" s="5" t="s">
        <v>372</v>
      </c>
      <c r="C135" s="29"/>
    </row>
    <row r="136" spans="1:3" ht="16" x14ac:dyDescent="0.2">
      <c r="A136" s="33" t="s">
        <v>371</v>
      </c>
      <c r="B136" s="5" t="s">
        <v>373</v>
      </c>
      <c r="C136" s="29"/>
    </row>
    <row r="137" spans="1:3" x14ac:dyDescent="0.2">
      <c r="A137" s="5" t="s">
        <v>38</v>
      </c>
      <c r="B137" s="12"/>
      <c r="C137" s="16"/>
    </row>
    <row r="138" spans="1:3" x14ac:dyDescent="0.2">
      <c r="A138" s="5" t="s">
        <v>230</v>
      </c>
      <c r="B138" s="5" t="s">
        <v>231</v>
      </c>
      <c r="C138" s="29"/>
    </row>
    <row r="139" spans="1:3" x14ac:dyDescent="0.2">
      <c r="A139" s="5" t="s">
        <v>327</v>
      </c>
      <c r="B139" s="5" t="s">
        <v>328</v>
      </c>
      <c r="C139" s="29"/>
    </row>
    <row r="140" spans="1:3" ht="16" x14ac:dyDescent="0.2">
      <c r="A140" s="12" t="s">
        <v>385</v>
      </c>
      <c r="B140" s="5" t="s">
        <v>386</v>
      </c>
      <c r="C140" s="29"/>
    </row>
    <row r="141" spans="1:3" x14ac:dyDescent="0.2">
      <c r="A141" s="16" t="s">
        <v>166</v>
      </c>
      <c r="B141" s="5" t="s">
        <v>167</v>
      </c>
      <c r="C141" s="29"/>
    </row>
    <row r="142" spans="1:3" x14ac:dyDescent="0.2">
      <c r="A142" s="23" t="s">
        <v>232</v>
      </c>
      <c r="B142" s="5" t="s">
        <v>233</v>
      </c>
      <c r="C142" s="29"/>
    </row>
    <row r="143" spans="1:3" x14ac:dyDescent="0.2">
      <c r="A143" s="5" t="s">
        <v>234</v>
      </c>
      <c r="B143" s="5" t="s">
        <v>235</v>
      </c>
      <c r="C143" s="29"/>
    </row>
    <row r="144" spans="1:3" x14ac:dyDescent="0.2">
      <c r="A144" s="5" t="s">
        <v>329</v>
      </c>
      <c r="B144" s="5" t="s">
        <v>330</v>
      </c>
      <c r="C144" s="29"/>
    </row>
    <row r="145" spans="1:3" x14ac:dyDescent="0.2">
      <c r="A145" s="16" t="s">
        <v>238</v>
      </c>
      <c r="B145" s="5" t="s">
        <v>239</v>
      </c>
      <c r="C145" s="29"/>
    </row>
    <row r="146" spans="1:3" x14ac:dyDescent="0.2">
      <c r="A146" s="5" t="s">
        <v>331</v>
      </c>
      <c r="B146" s="5" t="s">
        <v>332</v>
      </c>
      <c r="C146" s="29"/>
    </row>
    <row r="147" spans="1:3" x14ac:dyDescent="0.2">
      <c r="A147" s="5" t="s">
        <v>23</v>
      </c>
      <c r="B147" s="12"/>
      <c r="C147" s="16"/>
    </row>
    <row r="148" spans="1:3" ht="16" x14ac:dyDescent="0.2">
      <c r="A148" s="12" t="s">
        <v>415</v>
      </c>
      <c r="B148" s="5" t="s">
        <v>428</v>
      </c>
      <c r="C148" s="29"/>
    </row>
    <row r="149" spans="1:3" ht="16" x14ac:dyDescent="0.2">
      <c r="A149" s="12" t="s">
        <v>416</v>
      </c>
      <c r="B149" s="5" t="s">
        <v>429</v>
      </c>
      <c r="C149" s="29"/>
    </row>
    <row r="150" spans="1:3" ht="16" x14ac:dyDescent="0.2">
      <c r="A150" s="12" t="s">
        <v>417</v>
      </c>
      <c r="B150" s="5"/>
      <c r="C150" s="29"/>
    </row>
    <row r="151" spans="1:3" ht="16" x14ac:dyDescent="0.2">
      <c r="A151" s="12" t="s">
        <v>418</v>
      </c>
      <c r="B151" s="5"/>
      <c r="C151" s="29"/>
    </row>
    <row r="152" spans="1:3" ht="16" x14ac:dyDescent="0.2">
      <c r="A152" s="12" t="s">
        <v>419</v>
      </c>
      <c r="B152" s="5"/>
      <c r="C152" s="29"/>
    </row>
    <row r="153" spans="1:3" ht="16" x14ac:dyDescent="0.2">
      <c r="A153" s="12" t="s">
        <v>420</v>
      </c>
      <c r="B153" s="5"/>
      <c r="C153" s="29"/>
    </row>
    <row r="154" spans="1:3" ht="16" x14ac:dyDescent="0.2">
      <c r="A154" s="12" t="s">
        <v>421</v>
      </c>
      <c r="B154" s="5" t="s">
        <v>430</v>
      </c>
      <c r="C154" s="29"/>
    </row>
    <row r="155" spans="1:3" ht="16" x14ac:dyDescent="0.2">
      <c r="A155" s="12" t="s">
        <v>422</v>
      </c>
      <c r="B155" s="5" t="s">
        <v>431</v>
      </c>
      <c r="C155" s="29"/>
    </row>
    <row r="156" spans="1:3" x14ac:dyDescent="0.2">
      <c r="A156" s="8" t="s">
        <v>343</v>
      </c>
      <c r="B156" s="34"/>
      <c r="C156" s="8"/>
    </row>
    <row r="157" spans="1:3" ht="16" x14ac:dyDescent="0.2">
      <c r="A157" s="25" t="s">
        <v>426</v>
      </c>
      <c r="B157" s="34"/>
      <c r="C157" s="8"/>
    </row>
    <row r="158" spans="1:3" x14ac:dyDescent="0.2">
      <c r="A158" s="8" t="s">
        <v>383</v>
      </c>
      <c r="B158" s="34"/>
      <c r="C158" s="8"/>
    </row>
    <row r="159" spans="1:3" x14ac:dyDescent="0.2">
      <c r="A159" s="8" t="s">
        <v>138</v>
      </c>
      <c r="B159" s="34" t="s">
        <v>143</v>
      </c>
      <c r="C159" s="8" t="s">
        <v>148</v>
      </c>
    </row>
    <row r="160" spans="1:3" x14ac:dyDescent="0.2">
      <c r="A160" s="8" t="s">
        <v>132</v>
      </c>
      <c r="B160" s="34"/>
      <c r="C160" s="8"/>
    </row>
    <row r="161" spans="1:3" x14ac:dyDescent="0.2">
      <c r="A161" s="8" t="s">
        <v>382</v>
      </c>
      <c r="B161" s="34"/>
      <c r="C161" s="8"/>
    </row>
    <row r="162" spans="1:3" x14ac:dyDescent="0.2">
      <c r="A162" s="8" t="s">
        <v>140</v>
      </c>
      <c r="B162" s="34" t="s">
        <v>145</v>
      </c>
      <c r="C162" s="8" t="s">
        <v>150</v>
      </c>
    </row>
    <row r="163" spans="1:3" ht="16" x14ac:dyDescent="0.2">
      <c r="A163" s="25" t="s">
        <v>427</v>
      </c>
      <c r="B163" s="34"/>
      <c r="C163" s="8"/>
    </row>
    <row r="164" spans="1:3" x14ac:dyDescent="0.2">
      <c r="A164" s="8" t="s">
        <v>377</v>
      </c>
      <c r="B164" s="34"/>
      <c r="C164" s="8"/>
    </row>
    <row r="165" spans="1:3" ht="16" x14ac:dyDescent="0.2">
      <c r="A165" s="17" t="s">
        <v>376</v>
      </c>
      <c r="B165" s="34"/>
      <c r="C165" s="8"/>
    </row>
    <row r="166" spans="1:3" x14ac:dyDescent="0.2">
      <c r="A166" s="8" t="s">
        <v>368</v>
      </c>
      <c r="B166" s="34"/>
      <c r="C166" s="8"/>
    </row>
    <row r="167" spans="1:3" ht="16" x14ac:dyDescent="0.2">
      <c r="A167" s="25" t="s">
        <v>362</v>
      </c>
      <c r="B167" s="34"/>
      <c r="C167" s="8"/>
    </row>
    <row r="168" spans="1:3" ht="16" x14ac:dyDescent="0.2">
      <c r="A168" s="25" t="s">
        <v>410</v>
      </c>
      <c r="B168" s="34"/>
      <c r="C168" s="8"/>
    </row>
    <row r="169" spans="1:3" x14ac:dyDescent="0.2">
      <c r="A169" s="8" t="s">
        <v>369</v>
      </c>
      <c r="B169" s="34"/>
      <c r="C169" s="8"/>
    </row>
    <row r="170" spans="1:3" x14ac:dyDescent="0.2">
      <c r="A170" s="8" t="s">
        <v>360</v>
      </c>
      <c r="B170" s="34"/>
      <c r="C170" s="8"/>
    </row>
    <row r="171" spans="1:3" x14ac:dyDescent="0.2">
      <c r="A171" s="8" t="s">
        <v>141</v>
      </c>
      <c r="B171" s="34" t="s">
        <v>146</v>
      </c>
      <c r="C171" s="8" t="s">
        <v>151</v>
      </c>
    </row>
    <row r="172" spans="1:3" ht="16" x14ac:dyDescent="0.2">
      <c r="A172" s="25" t="s">
        <v>424</v>
      </c>
      <c r="B172" s="34"/>
      <c r="C172" s="8"/>
    </row>
    <row r="173" spans="1:3" ht="16" x14ac:dyDescent="0.2">
      <c r="A173" s="25" t="s">
        <v>424</v>
      </c>
      <c r="B173" s="34"/>
      <c r="C173" s="8"/>
    </row>
    <row r="174" spans="1:3" ht="16" x14ac:dyDescent="0.2">
      <c r="A174" s="25" t="s">
        <v>423</v>
      </c>
      <c r="B174" s="34"/>
      <c r="C174" s="8"/>
    </row>
    <row r="175" spans="1:3" x14ac:dyDescent="0.2">
      <c r="A175" s="8" t="s">
        <v>342</v>
      </c>
      <c r="B175" s="34"/>
      <c r="C175" s="8"/>
    </row>
    <row r="176" spans="1:3" ht="16" x14ac:dyDescent="0.2">
      <c r="A176" s="25" t="s">
        <v>425</v>
      </c>
      <c r="B176" s="34"/>
      <c r="C176" s="8"/>
    </row>
    <row r="177" spans="1:3" ht="16" x14ac:dyDescent="0.2">
      <c r="A177" s="25" t="s">
        <v>425</v>
      </c>
      <c r="B177" s="34"/>
      <c r="C177" s="8"/>
    </row>
    <row r="178" spans="1:3" x14ac:dyDescent="0.2">
      <c r="A178" s="35" t="s">
        <v>384</v>
      </c>
      <c r="B178" s="34"/>
      <c r="C178" s="8"/>
    </row>
    <row r="179" spans="1:3" ht="16" x14ac:dyDescent="0.2">
      <c r="A179" s="25" t="s">
        <v>411</v>
      </c>
      <c r="B179" s="34"/>
      <c r="C179" s="8"/>
    </row>
    <row r="180" spans="1:3" x14ac:dyDescent="0.2">
      <c r="A180" s="8" t="s">
        <v>139</v>
      </c>
      <c r="B180" s="34" t="s">
        <v>144</v>
      </c>
      <c r="C180" s="8" t="s">
        <v>149</v>
      </c>
    </row>
    <row r="181" spans="1:3" x14ac:dyDescent="0.2">
      <c r="A181" s="8" t="s">
        <v>397</v>
      </c>
      <c r="B181" s="34"/>
      <c r="C181" s="8"/>
    </row>
    <row r="182" spans="1:3" x14ac:dyDescent="0.2">
      <c r="A182" s="8" t="s">
        <v>137</v>
      </c>
      <c r="B182" s="8" t="s">
        <v>142</v>
      </c>
      <c r="C182" s="8" t="s">
        <v>147</v>
      </c>
    </row>
    <row r="183" spans="1:3" x14ac:dyDescent="0.2">
      <c r="A183" s="6" t="s">
        <v>400</v>
      </c>
      <c r="B183" s="5"/>
      <c r="C183" s="29"/>
    </row>
    <row r="184" spans="1:3" x14ac:dyDescent="0.2">
      <c r="A184" s="6" t="s">
        <v>134</v>
      </c>
      <c r="B184" s="5"/>
      <c r="C184" s="29"/>
    </row>
    <row r="185" spans="1:3" x14ac:dyDescent="0.2">
      <c r="A185" s="6" t="s">
        <v>131</v>
      </c>
      <c r="B185" s="5"/>
      <c r="C185" s="29"/>
    </row>
    <row r="186" spans="1:3" x14ac:dyDescent="0.2">
      <c r="A186" s="6" t="s">
        <v>132</v>
      </c>
      <c r="B186" s="5"/>
      <c r="C186" s="29"/>
    </row>
    <row r="187" spans="1:3" x14ac:dyDescent="0.2">
      <c r="A187" s="6" t="s">
        <v>130</v>
      </c>
      <c r="B187" s="5"/>
      <c r="C187" s="29"/>
    </row>
    <row r="188" spans="1:3" x14ac:dyDescent="0.2">
      <c r="A188" s="6" t="s">
        <v>135</v>
      </c>
      <c r="B188" s="5"/>
      <c r="C188" s="29"/>
    </row>
    <row r="189" spans="1:3" x14ac:dyDescent="0.2">
      <c r="A189" s="6" t="s">
        <v>136</v>
      </c>
      <c r="B189" s="5"/>
      <c r="C189" s="29"/>
    </row>
    <row r="190" spans="1:3" x14ac:dyDescent="0.2">
      <c r="A190" s="6" t="s">
        <v>128</v>
      </c>
      <c r="B190" s="5"/>
      <c r="C190" s="29"/>
    </row>
    <row r="191" spans="1:3" x14ac:dyDescent="0.2">
      <c r="A191" s="6" t="s">
        <v>133</v>
      </c>
      <c r="B191" s="5"/>
      <c r="C191" s="29"/>
    </row>
    <row r="192" spans="1:3" x14ac:dyDescent="0.2">
      <c r="A192" s="24" t="s">
        <v>399</v>
      </c>
      <c r="B192" s="5"/>
      <c r="C192" s="29"/>
    </row>
    <row r="193" spans="1:3" x14ac:dyDescent="0.2">
      <c r="A193" s="24" t="s">
        <v>129</v>
      </c>
      <c r="B193" s="5"/>
      <c r="C193" s="29"/>
    </row>
    <row r="194" spans="1:3" x14ac:dyDescent="0.2">
      <c r="A194" s="24" t="s">
        <v>408</v>
      </c>
      <c r="B194" s="5"/>
      <c r="C194" s="29"/>
    </row>
  </sheetData>
  <phoneticPr fontId="7" type="noConversion"/>
  <dataValidations count="1">
    <dataValidation type="list" allowBlank="1" sqref="A121:A127 A134:A135 A139:A140 A146:A155 A164 A174:A182" xr:uid="{6BF5DF7E-3E8D-5F4B-9B0B-B6263E1F6F44}">
      <formula1>PersonNames</formula1>
    </dataValidation>
  </dataValidations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showGridLines="0" topLeftCell="A6" zoomScale="140" zoomScaleNormal="140" workbookViewId="0">
      <selection activeCell="C16" sqref="C16"/>
    </sheetView>
  </sheetViews>
  <sheetFormatPr baseColWidth="10" defaultColWidth="8.83203125" defaultRowHeight="15" x14ac:dyDescent="0.2"/>
  <cols>
    <col min="1" max="1" width="33.83203125" customWidth="1"/>
    <col min="2" max="2" width="23.83203125" customWidth="1"/>
    <col min="3" max="3" width="18" customWidth="1"/>
    <col min="4" max="5" width="39.33203125" customWidth="1"/>
    <col min="6" max="6" width="14" customWidth="1"/>
    <col min="7" max="7" width="48" customWidth="1"/>
  </cols>
  <sheetData>
    <row r="1" spans="1:7" ht="22" customHeight="1" x14ac:dyDescent="0.2">
      <c r="A1" s="1" t="s">
        <v>5</v>
      </c>
      <c r="B1" s="1" t="s">
        <v>10</v>
      </c>
      <c r="C1" s="1" t="s">
        <v>124</v>
      </c>
      <c r="D1" s="1" t="s">
        <v>70</v>
      </c>
      <c r="E1" s="1" t="s">
        <v>97</v>
      </c>
      <c r="F1" s="1" t="s">
        <v>6</v>
      </c>
      <c r="G1" s="1" t="s">
        <v>3</v>
      </c>
    </row>
    <row r="2" spans="1:7" ht="16" x14ac:dyDescent="0.2">
      <c r="A2" t="s">
        <v>126</v>
      </c>
      <c r="B2" t="s">
        <v>128</v>
      </c>
      <c r="C2" s="2"/>
      <c r="D2" s="4" t="s">
        <v>71</v>
      </c>
      <c r="E2" t="s">
        <v>98</v>
      </c>
      <c r="F2" s="2" t="s">
        <v>7</v>
      </c>
      <c r="G2" s="2"/>
    </row>
    <row r="3" spans="1:7" ht="16" x14ac:dyDescent="0.2">
      <c r="A3" t="s">
        <v>63</v>
      </c>
      <c r="B3" t="s">
        <v>135</v>
      </c>
      <c r="C3" s="2" t="s">
        <v>433</v>
      </c>
      <c r="D3" s="4" t="s">
        <v>89</v>
      </c>
      <c r="E3" t="s">
        <v>113</v>
      </c>
      <c r="F3" s="2" t="s">
        <v>7</v>
      </c>
      <c r="G3" s="2"/>
    </row>
    <row r="4" spans="1:7" ht="16" x14ac:dyDescent="0.2">
      <c r="A4" t="s">
        <v>44</v>
      </c>
      <c r="C4" s="2"/>
      <c r="D4" s="2"/>
      <c r="E4" s="2"/>
      <c r="F4" s="2" t="s">
        <v>7</v>
      </c>
      <c r="G4" s="2"/>
    </row>
    <row r="5" spans="1:7" ht="16" x14ac:dyDescent="0.2">
      <c r="A5" t="s">
        <v>61</v>
      </c>
      <c r="B5" t="s">
        <v>134</v>
      </c>
      <c r="C5" s="2" t="s">
        <v>435</v>
      </c>
      <c r="D5" s="4" t="s">
        <v>87</v>
      </c>
      <c r="E5" t="s">
        <v>111</v>
      </c>
      <c r="F5" s="2" t="s">
        <v>7</v>
      </c>
      <c r="G5" s="2"/>
    </row>
    <row r="6" spans="1:7" ht="16" x14ac:dyDescent="0.2">
      <c r="A6" t="s">
        <v>52</v>
      </c>
      <c r="B6" t="s">
        <v>130</v>
      </c>
      <c r="C6" s="2" t="s">
        <v>435</v>
      </c>
      <c r="D6" s="4" t="s">
        <v>79</v>
      </c>
      <c r="E6" t="s">
        <v>105</v>
      </c>
      <c r="F6" s="2" t="s">
        <v>7</v>
      </c>
      <c r="G6" s="2"/>
    </row>
    <row r="7" spans="1:7" ht="16" x14ac:dyDescent="0.2">
      <c r="A7" t="s">
        <v>53</v>
      </c>
      <c r="B7" t="s">
        <v>130</v>
      </c>
      <c r="C7" s="2"/>
      <c r="D7" s="4" t="s">
        <v>80</v>
      </c>
      <c r="E7" t="s">
        <v>106</v>
      </c>
      <c r="F7" s="2" t="s">
        <v>7</v>
      </c>
      <c r="G7" s="2"/>
    </row>
    <row r="8" spans="1:7" ht="16" x14ac:dyDescent="0.2">
      <c r="A8" t="s">
        <v>406</v>
      </c>
      <c r="B8" t="s">
        <v>400</v>
      </c>
      <c r="D8" s="2"/>
      <c r="E8" s="4"/>
    </row>
    <row r="9" spans="1:7" ht="16" x14ac:dyDescent="0.2">
      <c r="A9" t="s">
        <v>45</v>
      </c>
      <c r="B9" t="s">
        <v>128</v>
      </c>
      <c r="C9" s="2"/>
      <c r="D9" s="2"/>
      <c r="F9" s="2" t="s">
        <v>7</v>
      </c>
      <c r="G9" s="2"/>
    </row>
    <row r="10" spans="1:7" ht="16" x14ac:dyDescent="0.2">
      <c r="A10" t="s">
        <v>54</v>
      </c>
      <c r="B10" t="s">
        <v>131</v>
      </c>
      <c r="C10" s="2" t="s">
        <v>435</v>
      </c>
      <c r="D10" s="4" t="s">
        <v>81</v>
      </c>
      <c r="E10" t="s">
        <v>107</v>
      </c>
      <c r="F10" s="2" t="s">
        <v>7</v>
      </c>
      <c r="G10" s="2"/>
    </row>
    <row r="11" spans="1:7" ht="16" x14ac:dyDescent="0.2">
      <c r="A11" t="s">
        <v>55</v>
      </c>
      <c r="B11" t="s">
        <v>131</v>
      </c>
      <c r="C11" s="2" t="s">
        <v>434</v>
      </c>
      <c r="D11" s="4" t="s">
        <v>82</v>
      </c>
      <c r="E11" t="s">
        <v>108</v>
      </c>
      <c r="F11" s="2" t="s">
        <v>7</v>
      </c>
      <c r="G11" s="2"/>
    </row>
    <row r="12" spans="1:7" ht="16" x14ac:dyDescent="0.2">
      <c r="A12" t="s">
        <v>56</v>
      </c>
      <c r="B12" t="s">
        <v>408</v>
      </c>
      <c r="C12" s="2"/>
      <c r="D12" s="4" t="s">
        <v>83</v>
      </c>
      <c r="E12" t="s">
        <v>27</v>
      </c>
      <c r="F12" s="2" t="s">
        <v>7</v>
      </c>
      <c r="G12" s="2"/>
    </row>
    <row r="13" spans="1:7" ht="16" x14ac:dyDescent="0.2">
      <c r="A13" t="s">
        <v>68</v>
      </c>
      <c r="B13" t="s">
        <v>136</v>
      </c>
      <c r="C13" s="2" t="s">
        <v>436</v>
      </c>
      <c r="D13" s="4" t="s">
        <v>94</v>
      </c>
      <c r="E13" t="s">
        <v>117</v>
      </c>
      <c r="F13" s="2" t="s">
        <v>7</v>
      </c>
      <c r="G13" s="2"/>
    </row>
    <row r="14" spans="1:7" ht="16" x14ac:dyDescent="0.2">
      <c r="A14" t="s">
        <v>405</v>
      </c>
      <c r="B14" t="s">
        <v>400</v>
      </c>
      <c r="D14" s="2"/>
      <c r="E14" s="4"/>
    </row>
    <row r="15" spans="1:7" ht="16" x14ac:dyDescent="0.2">
      <c r="A15" t="s">
        <v>407</v>
      </c>
      <c r="B15" t="s">
        <v>400</v>
      </c>
      <c r="D15" s="2"/>
      <c r="E15" s="4"/>
    </row>
    <row r="16" spans="1:7" ht="16" x14ac:dyDescent="0.2">
      <c r="A16" t="s">
        <v>404</v>
      </c>
      <c r="B16" t="s">
        <v>400</v>
      </c>
      <c r="D16" s="2"/>
      <c r="E16" s="4"/>
    </row>
    <row r="17" spans="1:7" ht="16" x14ac:dyDescent="0.2">
      <c r="A17" t="s">
        <v>51</v>
      </c>
      <c r="B17" t="s">
        <v>130</v>
      </c>
      <c r="C17" s="2"/>
      <c r="D17" s="4" t="s">
        <v>78</v>
      </c>
      <c r="E17" t="s">
        <v>104</v>
      </c>
      <c r="F17" s="2" t="s">
        <v>7</v>
      </c>
      <c r="G17" s="2"/>
    </row>
    <row r="18" spans="1:7" ht="16" x14ac:dyDescent="0.2">
      <c r="A18" t="s">
        <v>338</v>
      </c>
      <c r="B18" t="s">
        <v>136</v>
      </c>
      <c r="C18" s="2"/>
      <c r="D18" s="9"/>
      <c r="E18" s="4"/>
      <c r="F18" s="2" t="s">
        <v>7</v>
      </c>
      <c r="G18" s="2"/>
    </row>
    <row r="19" spans="1:7" ht="16" x14ac:dyDescent="0.2">
      <c r="A19" t="s">
        <v>127</v>
      </c>
      <c r="B19" t="s">
        <v>136</v>
      </c>
      <c r="C19" s="2" t="s">
        <v>435</v>
      </c>
      <c r="D19" s="4" t="s">
        <v>95</v>
      </c>
      <c r="E19" t="s">
        <v>118</v>
      </c>
      <c r="F19" s="2" t="s">
        <v>7</v>
      </c>
      <c r="G19" s="2"/>
    </row>
    <row r="20" spans="1:7" ht="16" x14ac:dyDescent="0.2">
      <c r="A20" t="s">
        <v>64</v>
      </c>
      <c r="B20" t="s">
        <v>135</v>
      </c>
      <c r="C20" s="2"/>
      <c r="D20" s="4" t="s">
        <v>90</v>
      </c>
      <c r="E20" t="s">
        <v>114</v>
      </c>
      <c r="F20" s="2" t="s">
        <v>7</v>
      </c>
      <c r="G20" s="2"/>
    </row>
    <row r="21" spans="1:7" ht="16" x14ac:dyDescent="0.2">
      <c r="A21" t="s">
        <v>62</v>
      </c>
      <c r="B21" t="s">
        <v>134</v>
      </c>
      <c r="C21" s="2"/>
      <c r="D21" s="4" t="s">
        <v>88</v>
      </c>
      <c r="E21" t="s">
        <v>112</v>
      </c>
      <c r="F21" s="2" t="s">
        <v>7</v>
      </c>
      <c r="G21" s="2"/>
    </row>
    <row r="22" spans="1:7" ht="16" x14ac:dyDescent="0.2">
      <c r="A22" t="s">
        <v>403</v>
      </c>
      <c r="B22" t="s">
        <v>400</v>
      </c>
      <c r="D22" s="2"/>
      <c r="E22" s="4"/>
    </row>
    <row r="23" spans="1:7" ht="16" x14ac:dyDescent="0.2">
      <c r="A23" t="s">
        <v>48</v>
      </c>
      <c r="B23" t="s">
        <v>129</v>
      </c>
      <c r="C23" s="2" t="s">
        <v>433</v>
      </c>
      <c r="D23" s="4" t="s">
        <v>74</v>
      </c>
      <c r="E23" t="s">
        <v>101</v>
      </c>
      <c r="F23" s="2" t="s">
        <v>7</v>
      </c>
      <c r="G23" s="2"/>
    </row>
    <row r="24" spans="1:7" ht="16" x14ac:dyDescent="0.2">
      <c r="A24" t="s">
        <v>47</v>
      </c>
      <c r="B24" t="s">
        <v>129</v>
      </c>
      <c r="C24" s="2" t="s">
        <v>435</v>
      </c>
      <c r="D24" s="4" t="s">
        <v>73</v>
      </c>
      <c r="E24" t="s">
        <v>100</v>
      </c>
      <c r="F24" s="2" t="s">
        <v>7</v>
      </c>
      <c r="G24" s="2"/>
    </row>
    <row r="25" spans="1:7" ht="16" x14ac:dyDescent="0.2">
      <c r="A25" t="s">
        <v>125</v>
      </c>
      <c r="B25" t="s">
        <v>129</v>
      </c>
      <c r="C25" s="2" t="s">
        <v>435</v>
      </c>
      <c r="D25" s="4" t="s">
        <v>75</v>
      </c>
      <c r="E25" t="s">
        <v>102</v>
      </c>
      <c r="F25" s="2" t="s">
        <v>7</v>
      </c>
      <c r="G25" s="2"/>
    </row>
    <row r="26" spans="1:7" ht="16" x14ac:dyDescent="0.2">
      <c r="A26" t="s">
        <v>49</v>
      </c>
      <c r="B26" t="s">
        <v>129</v>
      </c>
      <c r="C26" s="2" t="s">
        <v>434</v>
      </c>
      <c r="D26" s="4" t="s">
        <v>76</v>
      </c>
      <c r="E26" t="s">
        <v>100</v>
      </c>
      <c r="F26" s="2" t="s">
        <v>7</v>
      </c>
      <c r="G26" s="2"/>
    </row>
    <row r="27" spans="1:7" ht="16" x14ac:dyDescent="0.2">
      <c r="A27" t="s">
        <v>60</v>
      </c>
      <c r="B27" t="s">
        <v>133</v>
      </c>
      <c r="C27" s="2" t="s">
        <v>436</v>
      </c>
      <c r="D27" s="4" t="s">
        <v>86</v>
      </c>
      <c r="E27" t="s">
        <v>110</v>
      </c>
      <c r="F27" s="2" t="s">
        <v>7</v>
      </c>
      <c r="G27" s="2"/>
    </row>
    <row r="28" spans="1:7" ht="16" x14ac:dyDescent="0.2">
      <c r="A28" t="s">
        <v>59</v>
      </c>
      <c r="B28" t="s">
        <v>132</v>
      </c>
      <c r="C28" s="2" t="s">
        <v>434</v>
      </c>
      <c r="D28" s="4" t="s">
        <v>85</v>
      </c>
      <c r="E28" t="s">
        <v>109</v>
      </c>
      <c r="F28" s="2" t="s">
        <v>7</v>
      </c>
      <c r="G28" s="2"/>
    </row>
    <row r="29" spans="1:7" ht="16" x14ac:dyDescent="0.2">
      <c r="A29" t="s">
        <v>69</v>
      </c>
      <c r="B29" t="s">
        <v>136</v>
      </c>
      <c r="C29" s="2" t="s">
        <v>436</v>
      </c>
      <c r="D29" s="4" t="s">
        <v>96</v>
      </c>
      <c r="E29" t="s">
        <v>109</v>
      </c>
      <c r="F29" s="2" t="s">
        <v>7</v>
      </c>
      <c r="G29" s="2"/>
    </row>
    <row r="30" spans="1:7" ht="16" x14ac:dyDescent="0.2">
      <c r="A30" t="s">
        <v>46</v>
      </c>
      <c r="B30" t="s">
        <v>128</v>
      </c>
      <c r="C30" s="2"/>
      <c r="D30" s="4" t="s">
        <v>72</v>
      </c>
      <c r="E30" t="s">
        <v>99</v>
      </c>
      <c r="F30" s="2" t="s">
        <v>7</v>
      </c>
      <c r="G30" s="2"/>
    </row>
    <row r="31" spans="1:7" ht="16" x14ac:dyDescent="0.2">
      <c r="A31" t="s">
        <v>398</v>
      </c>
      <c r="B31" t="s">
        <v>399</v>
      </c>
      <c r="D31" s="2"/>
      <c r="E31" s="4"/>
    </row>
    <row r="32" spans="1:7" x14ac:dyDescent="0.2">
      <c r="A32" t="s">
        <v>50</v>
      </c>
      <c r="B32" t="s">
        <v>129</v>
      </c>
      <c r="C32" s="2"/>
      <c r="D32" s="4" t="s">
        <v>77</v>
      </c>
      <c r="E32" t="s">
        <v>103</v>
      </c>
      <c r="F32" s="2" t="s">
        <v>7</v>
      </c>
      <c r="G32" s="2"/>
    </row>
    <row r="33" spans="1:7" x14ac:dyDescent="0.2">
      <c r="A33" t="s">
        <v>58</v>
      </c>
      <c r="B33" t="s">
        <v>408</v>
      </c>
      <c r="C33" s="2"/>
      <c r="D33" s="4" t="s">
        <v>84</v>
      </c>
      <c r="E33" t="s">
        <v>27</v>
      </c>
      <c r="F33" s="2" t="s">
        <v>7</v>
      </c>
      <c r="G33" s="2"/>
    </row>
    <row r="34" spans="1:7" ht="16" x14ac:dyDescent="0.2">
      <c r="A34" t="s">
        <v>67</v>
      </c>
      <c r="B34" t="s">
        <v>136</v>
      </c>
      <c r="C34" s="2" t="s">
        <v>436</v>
      </c>
      <c r="D34" s="4" t="s">
        <v>93</v>
      </c>
      <c r="E34" t="s">
        <v>98</v>
      </c>
      <c r="F34" s="2" t="s">
        <v>7</v>
      </c>
      <c r="G34" s="2"/>
    </row>
    <row r="35" spans="1:7" x14ac:dyDescent="0.2">
      <c r="A35" t="s">
        <v>57</v>
      </c>
      <c r="B35" t="s">
        <v>408</v>
      </c>
      <c r="C35" s="2"/>
      <c r="D35" s="4" t="s">
        <v>84</v>
      </c>
      <c r="E35" t="s">
        <v>27</v>
      </c>
      <c r="F35" s="2" t="s">
        <v>7</v>
      </c>
      <c r="G35" s="2"/>
    </row>
    <row r="36" spans="1:7" ht="16" x14ac:dyDescent="0.2">
      <c r="A36" t="s">
        <v>66</v>
      </c>
      <c r="B36" t="s">
        <v>136</v>
      </c>
      <c r="C36" s="2" t="s">
        <v>436</v>
      </c>
      <c r="D36" s="4" t="s">
        <v>92</v>
      </c>
      <c r="E36" t="s">
        <v>116</v>
      </c>
      <c r="F36" s="2" t="s">
        <v>7</v>
      </c>
      <c r="G36" s="2"/>
    </row>
    <row r="37" spans="1:7" ht="16" x14ac:dyDescent="0.2">
      <c r="A37" t="s">
        <v>65</v>
      </c>
      <c r="B37" t="s">
        <v>136</v>
      </c>
      <c r="C37" s="2" t="s">
        <v>436</v>
      </c>
      <c r="D37" s="4" t="s">
        <v>91</v>
      </c>
      <c r="E37" t="s">
        <v>115</v>
      </c>
      <c r="F37" s="2" t="s">
        <v>7</v>
      </c>
      <c r="G37" s="2"/>
    </row>
  </sheetData>
  <dataValidations count="3">
    <dataValidation type="list" allowBlank="1" showInputMessage="1" showErrorMessage="1" sqref="F2:F1048576" xr:uid="{133F7374-BC7B-3C44-A9AF-9DB769B067DA}">
      <formula1>"Not Started, Active, Completed, Dropped, Paused"</formula1>
    </dataValidation>
    <dataValidation type="list" allowBlank="1" showInputMessage="1" showErrorMessage="1" sqref="B2:B1048576" xr:uid="{E7855E17-BF5F-9D4C-B7C4-074C1679E598}">
      <formula1>Faculty</formula1>
    </dataValidation>
    <dataValidation type="list" allowBlank="1" showInputMessage="1" showErrorMessage="1" sqref="C2:C1048576" xr:uid="{BD9F2850-3D5E-1B43-AACE-84382C3552D3}">
      <formula1>Units</formula1>
    </dataValidation>
  </dataValidations>
  <hyperlinks>
    <hyperlink ref="D30" r:id="rId1" xr:uid="{315D7929-D8BD-0A4C-B6F9-1BAFCE35F3EB}"/>
    <hyperlink ref="D24" r:id="rId2" xr:uid="{F8D7A39D-E780-A64E-AED0-984B5701905A}"/>
    <hyperlink ref="D25" r:id="rId3" xr:uid="{F0A5F273-B6F1-1A41-97E6-780C01588BD6}"/>
    <hyperlink ref="D26" r:id="rId4" xr:uid="{7C83FFC2-6BA7-EF4F-9F67-4FC9B0DAC5D8}"/>
    <hyperlink ref="D32" r:id="rId5" xr:uid="{E136B02B-796E-5540-A8EC-87190A3DBE75}"/>
    <hyperlink ref="D6" r:id="rId6" xr:uid="{6839B102-4AE2-A942-8EFE-22536162F861}"/>
    <hyperlink ref="D7" r:id="rId7" xr:uid="{4ADE4D9B-C529-2C48-9AD2-91859C27A38D}"/>
    <hyperlink ref="D12" r:id="rId8" xr:uid="{DF1F6CE1-D156-2D43-BB97-45BF617E17A3}"/>
    <hyperlink ref="D33" r:id="rId9" xr:uid="{4E349E7C-E406-6F4D-9706-D4F57E4F1E0C}"/>
    <hyperlink ref="D35" r:id="rId10" xr:uid="{1978A341-F3E0-F941-B75C-DC71F5F6DD5E}"/>
    <hyperlink ref="D28" r:id="rId11" xr:uid="{1A5DF04C-A4E7-434B-8AE6-BF53EEDDF043}"/>
    <hyperlink ref="D27" r:id="rId12" xr:uid="{ACECE9DE-FBF0-1A47-AD1A-73F60C15142A}"/>
    <hyperlink ref="D21" r:id="rId13" xr:uid="{B2EA6E85-D692-8647-8786-B0E8C4BC2EAF}"/>
    <hyperlink ref="D5" r:id="rId14" xr:uid="{262BE94D-AAE6-404D-9287-955ED046CD43}"/>
    <hyperlink ref="D20" r:id="rId15" xr:uid="{A7231E81-0D03-6D44-9B3B-FF36D0844F12}"/>
    <hyperlink ref="D37" r:id="rId16" xr:uid="{479B84F4-FBB4-F346-8437-97228880B99B}"/>
    <hyperlink ref="D36" r:id="rId17" xr:uid="{07A0945D-5AD6-054D-B7B1-3949086F7190}"/>
    <hyperlink ref="D34" r:id="rId18" xr:uid="{1E4B8F5D-315A-E641-BD97-9AF39B9201BE}"/>
    <hyperlink ref="D13" r:id="rId19" xr:uid="{EE2FC435-92DA-C447-A796-39E143E202B5}"/>
    <hyperlink ref="D19" r:id="rId20" xr:uid="{A3E6BB36-1151-904C-B239-AAEA51BFB7FD}"/>
    <hyperlink ref="D29" r:id="rId21" xr:uid="{4DD898C2-716C-3D47-B9AB-37B95B8E72E5}"/>
    <hyperlink ref="D23" r:id="rId22" xr:uid="{5EB5755F-F9E7-8C45-9FE9-F30C778F8316}"/>
    <hyperlink ref="D10" r:id="rId23" xr:uid="{D82BA27C-2D21-D443-98CC-401CE4307C57}"/>
    <hyperlink ref="D2" r:id="rId24" xr:uid="{0D12FBBD-1BDB-D841-85B1-CE31BC794735}"/>
    <hyperlink ref="D3" r:id="rId25" xr:uid="{159DDE05-3C96-734A-895C-3E88C5C18AAE}"/>
    <hyperlink ref="D11" r:id="rId26" xr:uid="{D965631D-534D-3641-9859-0D1B0EF8CE97}"/>
    <hyperlink ref="D17" r:id="rId27" display="GT Workspace - #project-haag-spatial-cameratrap" xr:uid="{C85A1B5B-911F-C644-B759-5BF62298EDDF}"/>
  </hyperlinks>
  <pageMargins left="0.7" right="0.7" top="0.75" bottom="0.75" header="0.3" footer="0.3"/>
  <pageSetup orientation="portrait" horizontalDpi="0" verticalDpi="0"/>
  <tableParts count="1">
    <tablePart r:id="rId2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showGridLines="0" workbookViewId="0"/>
  </sheetViews>
  <sheetFormatPr baseColWidth="10" defaultColWidth="8.83203125" defaultRowHeight="15" x14ac:dyDescent="0.2"/>
  <cols>
    <col min="1" max="1" width="30" customWidth="1"/>
  </cols>
  <sheetData>
    <row r="1" spans="1:1" ht="22" customHeight="1" x14ac:dyDescent="0.2">
      <c r="A1" s="1" t="s">
        <v>9</v>
      </c>
    </row>
    <row r="2" spans="1:1" ht="16" x14ac:dyDescent="0.2">
      <c r="A2" s="2" t="s">
        <v>10</v>
      </c>
    </row>
    <row r="3" spans="1:1" ht="16" x14ac:dyDescent="0.2">
      <c r="A3" s="2" t="s">
        <v>11</v>
      </c>
    </row>
    <row r="4" spans="1:1" ht="16" x14ac:dyDescent="0.2">
      <c r="A4" s="2" t="s">
        <v>12</v>
      </c>
    </row>
    <row r="5" spans="1:1" ht="16" x14ac:dyDescent="0.2">
      <c r="A5" s="2" t="s">
        <v>13</v>
      </c>
    </row>
    <row r="6" spans="1:1" ht="16" x14ac:dyDescent="0.2">
      <c r="A6" s="2" t="s">
        <v>14</v>
      </c>
    </row>
    <row r="7" spans="1:1" ht="16" x14ac:dyDescent="0.2">
      <c r="A7" s="2" t="s">
        <v>15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D2AF-C779-3347-A91E-9A2AA3A4C058}">
  <dimension ref="A1:A5"/>
  <sheetViews>
    <sheetView workbookViewId="0">
      <selection activeCell="C9" sqref="C9"/>
    </sheetView>
  </sheetViews>
  <sheetFormatPr baseColWidth="10" defaultRowHeight="15" x14ac:dyDescent="0.2"/>
  <cols>
    <col min="1" max="1" width="14" bestFit="1" customWidth="1"/>
  </cols>
  <sheetData>
    <row r="1" spans="1:1" ht="16" x14ac:dyDescent="0.2">
      <c r="A1" s="1" t="s">
        <v>432</v>
      </c>
    </row>
    <row r="2" spans="1:1" x14ac:dyDescent="0.2">
      <c r="A2" t="s">
        <v>433</v>
      </c>
    </row>
    <row r="3" spans="1:1" x14ac:dyDescent="0.2">
      <c r="A3" t="s">
        <v>435</v>
      </c>
    </row>
    <row r="4" spans="1:1" x14ac:dyDescent="0.2">
      <c r="A4" t="s">
        <v>436</v>
      </c>
    </row>
    <row r="5" spans="1:1" x14ac:dyDescent="0.2">
      <c r="A5" t="s">
        <v>434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2958-1B4E-4D48-AAC8-EA7256D5FB6A}">
  <dimension ref="A1:I205"/>
  <sheetViews>
    <sheetView showGridLines="0" topLeftCell="A20" zoomScale="140" zoomScaleNormal="140" workbookViewId="0">
      <selection activeCell="C7" sqref="C7"/>
    </sheetView>
  </sheetViews>
  <sheetFormatPr baseColWidth="10" defaultColWidth="8.83203125" defaultRowHeight="15" x14ac:dyDescent="0.2"/>
  <cols>
    <col min="1" max="1" width="30" bestFit="1" customWidth="1"/>
    <col min="2" max="2" width="27.1640625" customWidth="1"/>
    <col min="3" max="3" width="42" customWidth="1"/>
    <col min="4" max="6" width="10" hidden="1" customWidth="1"/>
    <col min="8" max="9" width="16" customWidth="1"/>
  </cols>
  <sheetData>
    <row r="1" spans="1:9" ht="22" customHeight="1" x14ac:dyDescent="0.2">
      <c r="A1" s="1" t="s">
        <v>1</v>
      </c>
      <c r="B1" s="1" t="s">
        <v>252</v>
      </c>
      <c r="C1" s="1" t="s">
        <v>3</v>
      </c>
      <c r="D1" s="1" t="s">
        <v>0</v>
      </c>
      <c r="E1" s="1" t="s">
        <v>4</v>
      </c>
      <c r="F1" s="1" t="s">
        <v>8</v>
      </c>
      <c r="G1" s="2"/>
      <c r="H1" s="2"/>
      <c r="I1" s="2"/>
    </row>
    <row r="2" spans="1:9" ht="16" x14ac:dyDescent="0.2">
      <c r="A2" s="11" t="s">
        <v>168</v>
      </c>
      <c r="B2" s="12" t="s">
        <v>253</v>
      </c>
      <c r="C2" s="12"/>
      <c r="D2" s="12" t="str">
        <f>IFERROR(VLOOKUP(A2,#REF!,2,FALSE),"")</f>
        <v/>
      </c>
      <c r="E2" s="12" t="str">
        <f>IFERROR(VLOOKUP(#REF!,#REF!,2,FALSE),"")</f>
        <v/>
      </c>
      <c r="F2" s="12" t="str">
        <f>IFERROR(VLOOKUP(B2,#REF!,2,FALSE),"")</f>
        <v/>
      </c>
      <c r="G2" s="2"/>
      <c r="H2" s="3"/>
      <c r="I2" s="3"/>
    </row>
    <row r="3" spans="1:9" ht="16" x14ac:dyDescent="0.2">
      <c r="A3" s="5" t="s">
        <v>30</v>
      </c>
      <c r="B3" s="12" t="s">
        <v>254</v>
      </c>
      <c r="C3" s="12"/>
      <c r="D3" s="12" t="str">
        <f>IFERROR(VLOOKUP(A3,#REF!,2,FALSE),"")</f>
        <v/>
      </c>
      <c r="E3" s="12" t="str">
        <f>IFERROR(VLOOKUP(#REF!,#REF!,2,FALSE),"")</f>
        <v/>
      </c>
      <c r="F3" s="12" t="str">
        <f>IFERROR(VLOOKUP(B3,#REF!,2,FALSE),"")</f>
        <v/>
      </c>
      <c r="G3" s="2"/>
      <c r="H3" s="3"/>
      <c r="I3" s="3"/>
    </row>
    <row r="4" spans="1:9" ht="16" x14ac:dyDescent="0.2">
      <c r="A4" s="5" t="s">
        <v>29</v>
      </c>
      <c r="B4" s="12" t="s">
        <v>254</v>
      </c>
      <c r="C4" s="12"/>
      <c r="D4" s="12" t="str">
        <f>IFERROR(VLOOKUP(A4,#REF!,2,FALSE),"")</f>
        <v/>
      </c>
      <c r="E4" s="12" t="str">
        <f>IFERROR(VLOOKUP(#REF!,#REF!,2,FALSE),"")</f>
        <v/>
      </c>
      <c r="F4" s="12" t="str">
        <f>IFERROR(VLOOKUP(B4,#REF!,2,FALSE),"")</f>
        <v/>
      </c>
      <c r="G4" s="2"/>
      <c r="H4" s="2"/>
      <c r="I4" s="2"/>
    </row>
    <row r="5" spans="1:9" ht="16" x14ac:dyDescent="0.2">
      <c r="A5" s="5" t="s">
        <v>170</v>
      </c>
      <c r="B5" s="12" t="s">
        <v>253</v>
      </c>
      <c r="C5" s="12"/>
      <c r="D5" s="12" t="str">
        <f>IFERROR(VLOOKUP(A5,#REF!,2,FALSE),"")</f>
        <v/>
      </c>
      <c r="E5" s="12" t="str">
        <f>IFERROR(VLOOKUP(#REF!,#REF!,2,FALSE),"")</f>
        <v/>
      </c>
      <c r="F5" s="12" t="str">
        <f>IFERROR(VLOOKUP(B5,#REF!,2,FALSE),"")</f>
        <v/>
      </c>
      <c r="G5" s="2"/>
      <c r="H5" s="2"/>
      <c r="I5" s="2"/>
    </row>
    <row r="6" spans="1:9" ht="16" x14ac:dyDescent="0.2">
      <c r="A6" s="10" t="s">
        <v>395</v>
      </c>
      <c r="B6" s="12" t="s">
        <v>359</v>
      </c>
      <c r="C6" s="12"/>
      <c r="D6" s="12" t="str">
        <f>IFERROR(VLOOKUP(A6,#REF!,2,FALSE),"")</f>
        <v/>
      </c>
      <c r="E6" s="12" t="str">
        <f>IFERROR(VLOOKUP(#REF!,#REF!,2,FALSE),"")</f>
        <v/>
      </c>
      <c r="F6" s="12" t="str">
        <f>IFERROR(VLOOKUP(B6,#REF!,2,FALSE),"")</f>
        <v/>
      </c>
      <c r="G6" s="2"/>
      <c r="H6" s="2"/>
      <c r="I6" s="2"/>
    </row>
    <row r="7" spans="1:9" ht="16" x14ac:dyDescent="0.2">
      <c r="A7" s="12" t="s">
        <v>345</v>
      </c>
      <c r="B7" s="12" t="s">
        <v>341</v>
      </c>
      <c r="C7" s="12"/>
      <c r="D7" s="12" t="str">
        <f>IFERROR(VLOOKUP(A7,#REF!,2,FALSE),"")</f>
        <v/>
      </c>
      <c r="E7" s="12" t="str">
        <f>IFERROR(VLOOKUP(#REF!,#REF!,2,FALSE),"")</f>
        <v/>
      </c>
      <c r="F7" s="12" t="str">
        <f>IFERROR(VLOOKUP(B7,#REF!,2,FALSE),"")</f>
        <v/>
      </c>
      <c r="G7" s="2"/>
      <c r="H7" s="2"/>
      <c r="I7" s="2"/>
    </row>
    <row r="8" spans="1:9" ht="16" x14ac:dyDescent="0.2">
      <c r="A8" s="5" t="s">
        <v>172</v>
      </c>
      <c r="B8" s="12" t="s">
        <v>253</v>
      </c>
      <c r="C8" s="12"/>
      <c r="D8" s="12" t="str">
        <f>IFERROR(VLOOKUP(A8,#REF!,2,FALSE),"")</f>
        <v/>
      </c>
      <c r="E8" s="12" t="str">
        <f>IFERROR(VLOOKUP(#REF!,#REF!,2,FALSE),"")</f>
        <v/>
      </c>
      <c r="F8" s="12" t="str">
        <f>IFERROR(VLOOKUP(B8,#REF!,2,FALSE),"")</f>
        <v/>
      </c>
      <c r="G8" s="2"/>
      <c r="H8" s="2"/>
      <c r="I8" s="2"/>
    </row>
    <row r="9" spans="1:9" ht="16" x14ac:dyDescent="0.2">
      <c r="A9" s="5" t="s">
        <v>174</v>
      </c>
      <c r="B9" s="12" t="s">
        <v>253</v>
      </c>
      <c r="C9" s="12"/>
      <c r="D9" s="12" t="str">
        <f>IFERROR(VLOOKUP(A9,#REF!,2,FALSE),"")</f>
        <v/>
      </c>
      <c r="E9" s="12" t="str">
        <f>IFERROR(VLOOKUP(#REF!,#REF!,2,FALSE),"")</f>
        <v/>
      </c>
      <c r="F9" s="12" t="str">
        <f>IFERROR(VLOOKUP(B9,#REF!,2,FALSE),"")</f>
        <v/>
      </c>
      <c r="G9" s="2"/>
      <c r="H9" s="2"/>
      <c r="I9" s="2"/>
    </row>
    <row r="10" spans="1:9" ht="16" x14ac:dyDescent="0.2">
      <c r="A10" s="5" t="s">
        <v>28</v>
      </c>
      <c r="B10" s="12" t="s">
        <v>254</v>
      </c>
      <c r="C10" s="12"/>
      <c r="D10" s="12" t="str">
        <f>IFERROR(VLOOKUP(A10,#REF!,2,FALSE),"")</f>
        <v/>
      </c>
      <c r="E10" s="12" t="str">
        <f>IFERROR(VLOOKUP(#REF!,#REF!,2,FALSE),"")</f>
        <v/>
      </c>
      <c r="F10" s="12" t="str">
        <f>IFERROR(VLOOKUP(B10,#REF!,2,FALSE),"")</f>
        <v/>
      </c>
      <c r="G10" s="2"/>
      <c r="H10" s="2"/>
      <c r="I10" s="2"/>
    </row>
    <row r="11" spans="1:9" ht="16" x14ac:dyDescent="0.2">
      <c r="A11" s="36" t="s">
        <v>400</v>
      </c>
      <c r="B11" s="12" t="s">
        <v>10</v>
      </c>
      <c r="C11" s="12"/>
      <c r="D11" s="12" t="str">
        <f>IFERROR(VLOOKUP(A11,#REF!,2,FALSE),"")</f>
        <v/>
      </c>
      <c r="E11" s="12" t="str">
        <f>IFERROR(VLOOKUP(#REF!,#REF!,2,FALSE),"")</f>
        <v/>
      </c>
      <c r="F11" s="12" t="str">
        <f>IFERROR(VLOOKUP(B11,#REF!,2,FALSE),"")</f>
        <v/>
      </c>
      <c r="G11" s="2"/>
      <c r="H11" s="2"/>
      <c r="I11" s="2"/>
    </row>
    <row r="12" spans="1:9" ht="16" x14ac:dyDescent="0.2">
      <c r="A12" s="5" t="s">
        <v>176</v>
      </c>
      <c r="B12" s="12" t="s">
        <v>253</v>
      </c>
      <c r="C12" s="12"/>
      <c r="D12" s="12"/>
      <c r="E12" s="12"/>
      <c r="F12" s="12"/>
      <c r="G12" s="2"/>
      <c r="H12" s="2"/>
      <c r="I12" s="2"/>
    </row>
    <row r="13" spans="1:9" ht="16" x14ac:dyDescent="0.2">
      <c r="A13" s="30" t="s">
        <v>401</v>
      </c>
      <c r="B13" s="12" t="s">
        <v>359</v>
      </c>
      <c r="C13" s="12"/>
      <c r="D13" s="12" t="str">
        <f>IFERROR(VLOOKUP(A13,#REF!,2,FALSE),"")</f>
        <v/>
      </c>
      <c r="E13" s="12" t="str">
        <f>IFERROR(VLOOKUP(#REF!,#REF!,2,FALSE),"")</f>
        <v/>
      </c>
      <c r="F13" s="12" t="str">
        <f>IFERROR(VLOOKUP(B13,#REF!,2,FALSE),"")</f>
        <v/>
      </c>
      <c r="G13" s="2"/>
      <c r="H13" s="2"/>
      <c r="I13" s="2"/>
    </row>
    <row r="14" spans="1:9" ht="16" x14ac:dyDescent="0.2">
      <c r="A14" s="30" t="s">
        <v>356</v>
      </c>
      <c r="B14" s="12" t="s">
        <v>359</v>
      </c>
      <c r="C14" s="12"/>
      <c r="D14" s="12" t="str">
        <f>IFERROR(VLOOKUP(A14,#REF!,2,FALSE),"")</f>
        <v/>
      </c>
      <c r="E14" s="12" t="str">
        <f>IFERROR(VLOOKUP(#REF!,#REF!,2,FALSE),"")</f>
        <v/>
      </c>
      <c r="F14" s="12" t="str">
        <f>IFERROR(VLOOKUP(B14,#REF!,2,FALSE),"")</f>
        <v/>
      </c>
      <c r="G14" s="2"/>
      <c r="H14" s="2"/>
      <c r="I14" s="2"/>
    </row>
    <row r="15" spans="1:9" ht="16" x14ac:dyDescent="0.2">
      <c r="A15" s="5" t="s">
        <v>123</v>
      </c>
      <c r="B15" s="12" t="s">
        <v>254</v>
      </c>
      <c r="C15" s="12"/>
      <c r="D15" s="12" t="str">
        <f>IFERROR(VLOOKUP(A15,#REF!,2,FALSE),"")</f>
        <v/>
      </c>
      <c r="E15" s="12" t="str">
        <f>IFERROR(VLOOKUP(#REF!,#REF!,2,FALSE),"")</f>
        <v/>
      </c>
      <c r="F15" s="12" t="str">
        <f>IFERROR(VLOOKUP(B15,#REF!,2,FALSE),"")</f>
        <v/>
      </c>
      <c r="G15" s="2"/>
      <c r="H15" s="2"/>
      <c r="I15" s="2"/>
    </row>
    <row r="16" spans="1:9" ht="16" x14ac:dyDescent="0.2">
      <c r="A16" s="11" t="s">
        <v>178</v>
      </c>
      <c r="B16" s="12" t="s">
        <v>253</v>
      </c>
      <c r="C16" s="12"/>
      <c r="D16" s="12" t="str">
        <f>IFERROR(VLOOKUP(A16,#REF!,2,FALSE),"")</f>
        <v/>
      </c>
      <c r="E16" s="12" t="str">
        <f>IFERROR(VLOOKUP(#REF!,#REF!,2,FALSE),"")</f>
        <v/>
      </c>
      <c r="F16" s="12" t="str">
        <f>IFERROR(VLOOKUP(B16,#REF!,2,FALSE),"")</f>
        <v/>
      </c>
      <c r="G16" s="2"/>
      <c r="H16" s="2"/>
      <c r="I16" s="2"/>
    </row>
    <row r="17" spans="1:9" ht="16" x14ac:dyDescent="0.2">
      <c r="A17" s="5" t="s">
        <v>380</v>
      </c>
      <c r="B17" s="12" t="s">
        <v>359</v>
      </c>
      <c r="C17" s="12"/>
      <c r="D17" s="12" t="str">
        <f>IFERROR(VLOOKUP(A17,#REF!,2,FALSE),"")</f>
        <v/>
      </c>
      <c r="E17" s="12" t="str">
        <f>IFERROR(VLOOKUP(#REF!,#REF!,2,FALSE),"")</f>
        <v/>
      </c>
      <c r="F17" s="12" t="str">
        <f>IFERROR(VLOOKUP(B17,#REF!,2,FALSE),"")</f>
        <v/>
      </c>
      <c r="G17" s="2"/>
      <c r="H17" s="2"/>
      <c r="I17" s="2"/>
    </row>
    <row r="18" spans="1:9" ht="16" x14ac:dyDescent="0.2">
      <c r="A18" s="12" t="s">
        <v>347</v>
      </c>
      <c r="B18" s="12" t="s">
        <v>341</v>
      </c>
      <c r="C18" s="12"/>
      <c r="D18" s="12" t="str">
        <f>IFERROR(VLOOKUP(A18,#REF!,2,FALSE),"")</f>
        <v/>
      </c>
      <c r="E18" s="12" t="str">
        <f>IFERROR(VLOOKUP(#REF!,#REF!,2,FALSE),"")</f>
        <v/>
      </c>
      <c r="F18" s="12" t="str">
        <f>IFERROR(VLOOKUP(B18,#REF!,2,FALSE),"")</f>
        <v/>
      </c>
      <c r="G18" s="2"/>
      <c r="H18" s="2"/>
      <c r="I18" s="2"/>
    </row>
    <row r="19" spans="1:9" ht="16" x14ac:dyDescent="0.2">
      <c r="A19" s="5" t="s">
        <v>180</v>
      </c>
      <c r="B19" s="12" t="s">
        <v>253</v>
      </c>
      <c r="C19" s="12"/>
      <c r="D19" s="12" t="str">
        <f>IFERROR(VLOOKUP(A19,#REF!,2,FALSE),"")</f>
        <v/>
      </c>
      <c r="E19" s="12" t="str">
        <f>IFERROR(VLOOKUP(#REF!,#REF!,2,FALSE),"")</f>
        <v/>
      </c>
      <c r="F19" s="12" t="str">
        <f>IFERROR(VLOOKUP(B19,#REF!,2,FALSE),"")</f>
        <v/>
      </c>
      <c r="G19" s="2"/>
      <c r="H19" s="2"/>
      <c r="I19" s="2"/>
    </row>
    <row r="20" spans="1:9" ht="16" x14ac:dyDescent="0.2">
      <c r="A20" s="5" t="s">
        <v>182</v>
      </c>
      <c r="B20" s="12" t="s">
        <v>253</v>
      </c>
      <c r="C20" s="12"/>
      <c r="D20" s="12" t="str">
        <f>IFERROR(VLOOKUP(A20,#REF!,2,FALSE),"")</f>
        <v/>
      </c>
      <c r="E20" s="12" t="str">
        <f>IFERROR(VLOOKUP(#REF!,#REF!,2,FALSE),"")</f>
        <v/>
      </c>
      <c r="F20" s="12" t="str">
        <f>IFERROR(VLOOKUP(B20,#REF!,2,FALSE),"")</f>
        <v/>
      </c>
      <c r="G20" s="2"/>
      <c r="H20" s="2"/>
      <c r="I20" s="2"/>
    </row>
    <row r="21" spans="1:9" ht="16" x14ac:dyDescent="0.2">
      <c r="A21" s="5" t="s">
        <v>244</v>
      </c>
      <c r="B21" s="12" t="s">
        <v>253</v>
      </c>
      <c r="C21" s="12"/>
      <c r="D21" s="12" t="str">
        <f>IFERROR(VLOOKUP(A21,#REF!,2,FALSE),"")</f>
        <v/>
      </c>
      <c r="E21" s="12" t="str">
        <f>IFERROR(VLOOKUP(#REF!,#REF!,2,FALSE),"")</f>
        <v/>
      </c>
      <c r="F21" s="12" t="str">
        <f>IFERROR(VLOOKUP(B21,#REF!,2,FALSE),"")</f>
        <v/>
      </c>
      <c r="G21" s="2"/>
      <c r="H21" s="2"/>
      <c r="I21" s="2"/>
    </row>
    <row r="22" spans="1:9" ht="16" x14ac:dyDescent="0.2">
      <c r="A22" s="5" t="s">
        <v>349</v>
      </c>
      <c r="B22" s="12" t="s">
        <v>341</v>
      </c>
      <c r="C22" s="12"/>
      <c r="D22" s="12" t="str">
        <f>IFERROR(VLOOKUP(A22,#REF!,2,FALSE),"")</f>
        <v/>
      </c>
      <c r="E22" s="12" t="str">
        <f>IFERROR(VLOOKUP(#REF!,#REF!,2,FALSE),"")</f>
        <v/>
      </c>
      <c r="F22" s="12" t="str">
        <f>IFERROR(VLOOKUP(B22,#REF!,2,FALSE),"")</f>
        <v/>
      </c>
      <c r="G22" s="2"/>
      <c r="H22" s="2"/>
      <c r="I22" s="2"/>
    </row>
    <row r="23" spans="1:9" ht="16" x14ac:dyDescent="0.2">
      <c r="A23" s="12" t="s">
        <v>421</v>
      </c>
      <c r="B23" s="12" t="s">
        <v>359</v>
      </c>
      <c r="C23" s="12"/>
      <c r="D23" s="12" t="str">
        <f>IFERROR(VLOOKUP(A23,#REF!,2,FALSE),"")</f>
        <v/>
      </c>
      <c r="E23" s="12" t="str">
        <f>IFERROR(VLOOKUP(#REF!,#REF!,2,FALSE),"")</f>
        <v/>
      </c>
      <c r="F23" s="12" t="str">
        <f>IFERROR(VLOOKUP(B23,#REF!,2,FALSE),"")</f>
        <v/>
      </c>
      <c r="G23" s="2"/>
      <c r="H23" s="2"/>
      <c r="I23" s="2"/>
    </row>
    <row r="24" spans="1:9" ht="16" x14ac:dyDescent="0.2">
      <c r="A24" s="5" t="s">
        <v>184</v>
      </c>
      <c r="B24" s="12" t="s">
        <v>253</v>
      </c>
      <c r="C24" s="12"/>
      <c r="D24" s="12" t="str">
        <f>IFERROR(VLOOKUP(A24,#REF!,2,FALSE),"")</f>
        <v/>
      </c>
      <c r="E24" s="12" t="str">
        <f>IFERROR(VLOOKUP(#REF!,#REF!,2,FALSE),"")</f>
        <v/>
      </c>
      <c r="F24" s="12" t="str">
        <f>IFERROR(VLOOKUP(B24,#REF!,2,FALSE),"")</f>
        <v/>
      </c>
      <c r="G24" s="2"/>
      <c r="H24" s="2"/>
      <c r="I24" s="2"/>
    </row>
    <row r="25" spans="1:9" ht="16" x14ac:dyDescent="0.2">
      <c r="A25" s="8" t="s">
        <v>343</v>
      </c>
      <c r="B25" s="12" t="s">
        <v>15</v>
      </c>
      <c r="C25" s="12"/>
      <c r="D25" s="12" t="str">
        <f>IFERROR(VLOOKUP(A25,#REF!,2,FALSE),"")</f>
        <v/>
      </c>
      <c r="E25" s="12" t="str">
        <f>IFERROR(VLOOKUP(#REF!,#REF!,2,FALSE),"")</f>
        <v/>
      </c>
      <c r="F25" s="12" t="str">
        <f>IFERROR(VLOOKUP(B25,#REF!,2,FALSE),"")</f>
        <v/>
      </c>
      <c r="G25" s="2"/>
      <c r="H25" s="2"/>
      <c r="I25" s="2"/>
    </row>
    <row r="26" spans="1:9" ht="16" x14ac:dyDescent="0.2">
      <c r="A26" s="25" t="s">
        <v>426</v>
      </c>
      <c r="B26" s="12" t="s">
        <v>15</v>
      </c>
      <c r="C26" s="12"/>
      <c r="D26" s="12" t="str">
        <f>IFERROR(VLOOKUP(A26,#REF!,2,FALSE),"")</f>
        <v/>
      </c>
      <c r="E26" s="12" t="str">
        <f>IFERROR(VLOOKUP(#REF!,#REF!,2,FALSE),"")</f>
        <v/>
      </c>
      <c r="F26" s="12" t="str">
        <f>IFERROR(VLOOKUP(B26,#REF!,2,FALSE),"")</f>
        <v/>
      </c>
      <c r="G26" s="2"/>
      <c r="H26" s="2"/>
      <c r="I26" s="2"/>
    </row>
    <row r="27" spans="1:9" ht="16" x14ac:dyDescent="0.2">
      <c r="A27" s="5" t="s">
        <v>396</v>
      </c>
      <c r="B27" s="12" t="s">
        <v>341</v>
      </c>
      <c r="C27" s="12"/>
      <c r="D27" s="12" t="str">
        <f>IFERROR(VLOOKUP(A27,#REF!,2,FALSE),"")</f>
        <v/>
      </c>
      <c r="E27" s="12" t="str">
        <f>IFERROR(VLOOKUP(#REF!,#REF!,2,FALSE),"")</f>
        <v/>
      </c>
      <c r="F27" s="12" t="str">
        <f>IFERROR(VLOOKUP(B27,#REF!,2,FALSE),"")</f>
        <v/>
      </c>
      <c r="G27" s="2"/>
      <c r="H27" s="2"/>
      <c r="I27" s="2"/>
    </row>
    <row r="28" spans="1:9" ht="16" x14ac:dyDescent="0.2">
      <c r="A28" s="5" t="s">
        <v>186</v>
      </c>
      <c r="B28" s="12" t="s">
        <v>253</v>
      </c>
      <c r="C28" s="12"/>
      <c r="D28" s="12" t="str">
        <f>IFERROR(VLOOKUP(A28,#REF!,2,FALSE),"")</f>
        <v/>
      </c>
      <c r="E28" s="12" t="str">
        <f>IFERROR(VLOOKUP(#REF!,#REF!,2,FALSE),"")</f>
        <v/>
      </c>
      <c r="F28" s="12" t="str">
        <f>IFERROR(VLOOKUP(B28,#REF!,2,FALSE),"")</f>
        <v/>
      </c>
      <c r="G28" s="2"/>
      <c r="H28" s="2"/>
      <c r="I28" s="2"/>
    </row>
    <row r="29" spans="1:9" ht="16" x14ac:dyDescent="0.2">
      <c r="A29" s="5" t="s">
        <v>41</v>
      </c>
      <c r="B29" s="12" t="s">
        <v>254</v>
      </c>
      <c r="C29" s="12"/>
      <c r="D29" s="12" t="str">
        <f>IFERROR(VLOOKUP(A29,#REF!,2,FALSE),"")</f>
        <v/>
      </c>
      <c r="E29" s="12" t="str">
        <f>IFERROR(VLOOKUP(#REF!,#REF!,2,FALSE),"")</f>
        <v/>
      </c>
      <c r="F29" s="12" t="str">
        <f>IFERROR(VLOOKUP(B29,#REF!,2,FALSE),"")</f>
        <v/>
      </c>
      <c r="G29" s="2"/>
      <c r="H29" s="2"/>
      <c r="I29" s="2"/>
    </row>
    <row r="30" spans="1:9" ht="16" x14ac:dyDescent="0.2">
      <c r="A30" s="5" t="s">
        <v>154</v>
      </c>
      <c r="B30" s="12" t="s">
        <v>253</v>
      </c>
      <c r="C30" s="12"/>
      <c r="D30" s="12" t="str">
        <f>IFERROR(VLOOKUP(A30,#REF!,2,FALSE),"")</f>
        <v/>
      </c>
      <c r="E30" s="12" t="str">
        <f>IFERROR(VLOOKUP(#REF!,#REF!,2,FALSE),"")</f>
        <v/>
      </c>
      <c r="F30" s="12" t="str">
        <f>IFERROR(VLOOKUP(B30,#REF!,2,FALSE),"")</f>
        <v/>
      </c>
      <c r="G30" s="2"/>
      <c r="H30" s="2"/>
      <c r="I30" s="2"/>
    </row>
    <row r="31" spans="1:9" ht="16" x14ac:dyDescent="0.2">
      <c r="A31" s="12" t="s">
        <v>415</v>
      </c>
      <c r="B31" s="12" t="s">
        <v>359</v>
      </c>
      <c r="C31" s="12"/>
      <c r="D31" s="12" t="str">
        <f>IFERROR(VLOOKUP(A31,#REF!,2,FALSE),"")</f>
        <v/>
      </c>
      <c r="E31" s="12" t="str">
        <f>IFERROR(VLOOKUP(#REF!,#REF!,2,FALSE),"")</f>
        <v/>
      </c>
      <c r="F31" s="12" t="str">
        <f>IFERROR(VLOOKUP(B31,#REF!,2,FALSE),"")</f>
        <v/>
      </c>
      <c r="G31" s="2"/>
      <c r="H31" s="2"/>
      <c r="I31" s="2"/>
    </row>
    <row r="32" spans="1:9" ht="16" x14ac:dyDescent="0.2">
      <c r="A32" s="30" t="s">
        <v>358</v>
      </c>
      <c r="B32" s="12" t="s">
        <v>359</v>
      </c>
      <c r="C32" s="12"/>
      <c r="D32" s="12" t="str">
        <f>IFERROR(VLOOKUP(A32,#REF!,2,FALSE),"")</f>
        <v/>
      </c>
      <c r="E32" s="12" t="str">
        <f>IFERROR(VLOOKUP(#REF!,#REF!,2,FALSE),"")</f>
        <v/>
      </c>
      <c r="F32" s="12" t="str">
        <f>IFERROR(VLOOKUP(B32,#REF!,2,FALSE),"")</f>
        <v/>
      </c>
      <c r="G32" s="2"/>
      <c r="H32" s="2"/>
      <c r="I32" s="2"/>
    </row>
    <row r="33" spans="1:9" ht="16" x14ac:dyDescent="0.2">
      <c r="A33" s="16" t="s">
        <v>188</v>
      </c>
      <c r="B33" s="12" t="s">
        <v>253</v>
      </c>
      <c r="C33" s="12"/>
      <c r="D33" s="12" t="str">
        <f>IFERROR(VLOOKUP(A33,#REF!,2,FALSE),"")</f>
        <v/>
      </c>
      <c r="E33" s="12" t="str">
        <f>IFERROR(VLOOKUP(#REF!,#REF!,2,FALSE),"")</f>
        <v/>
      </c>
      <c r="F33" s="12" t="str">
        <f>IFERROR(VLOOKUP(B33,#REF!,2,FALSE),"")</f>
        <v/>
      </c>
      <c r="G33" s="2"/>
      <c r="H33" s="2"/>
      <c r="I33" s="2"/>
    </row>
    <row r="34" spans="1:9" ht="16" x14ac:dyDescent="0.2">
      <c r="A34" s="5" t="s">
        <v>335</v>
      </c>
      <c r="B34" s="12" t="s">
        <v>337</v>
      </c>
      <c r="C34" s="12"/>
      <c r="D34" s="12" t="str">
        <f>IFERROR(VLOOKUP(A34,#REF!,2,FALSE),"")</f>
        <v/>
      </c>
      <c r="E34" s="12" t="str">
        <f>IFERROR(VLOOKUP(#REF!,#REF!,2,FALSE),"")</f>
        <v/>
      </c>
      <c r="F34" s="12" t="str">
        <f>IFERROR(VLOOKUP(B34,#REF!,2,FALSE),"")</f>
        <v/>
      </c>
      <c r="G34" s="2"/>
      <c r="H34" s="2"/>
      <c r="I34" s="2"/>
    </row>
    <row r="35" spans="1:9" ht="16" x14ac:dyDescent="0.2">
      <c r="A35" s="15" t="s">
        <v>363</v>
      </c>
      <c r="B35" s="14" t="s">
        <v>341</v>
      </c>
      <c r="C35" s="12"/>
      <c r="D35" s="12" t="str">
        <f>IFERROR(VLOOKUP(A35,#REF!,2,FALSE),"")</f>
        <v/>
      </c>
      <c r="E35" s="12" t="str">
        <f>IFERROR(VLOOKUP(#REF!,#REF!,2,FALSE),"")</f>
        <v/>
      </c>
      <c r="F35" s="12" t="str">
        <f>IFERROR(VLOOKUP(B35,#REF!,2,FALSE),"")</f>
        <v/>
      </c>
      <c r="G35" s="2"/>
      <c r="H35" s="2"/>
      <c r="I35" s="2"/>
    </row>
    <row r="36" spans="1:9" ht="16" x14ac:dyDescent="0.2">
      <c r="A36" s="12" t="s">
        <v>422</v>
      </c>
      <c r="B36" s="12" t="s">
        <v>359</v>
      </c>
      <c r="C36" s="12"/>
      <c r="D36" s="12" t="str">
        <f>IFERROR(VLOOKUP(A36,#REF!,2,FALSE),"")</f>
        <v/>
      </c>
      <c r="E36" s="12" t="str">
        <f>IFERROR(VLOOKUP(#REF!,#REF!,2,FALSE),"")</f>
        <v/>
      </c>
      <c r="F36" s="12" t="str">
        <f>IFERROR(VLOOKUP(B36,#REF!,2,FALSE),"")</f>
        <v/>
      </c>
      <c r="G36" s="2"/>
      <c r="H36" s="2"/>
      <c r="I36" s="2"/>
    </row>
    <row r="37" spans="1:9" ht="16" x14ac:dyDescent="0.2">
      <c r="A37" s="5" t="s">
        <v>255</v>
      </c>
      <c r="B37" s="12" t="s">
        <v>337</v>
      </c>
      <c r="C37" s="12"/>
      <c r="D37" s="12" t="str">
        <f>IFERROR(VLOOKUP(A37,#REF!,2,FALSE),"")</f>
        <v/>
      </c>
      <c r="E37" s="12" t="str">
        <f>IFERROR(VLOOKUP(#REF!,#REF!,2,FALSE),"")</f>
        <v/>
      </c>
      <c r="F37" s="12" t="str">
        <f>IFERROR(VLOOKUP(B37,#REF!,2,FALSE),"")</f>
        <v/>
      </c>
      <c r="G37" s="2"/>
      <c r="H37" s="2"/>
      <c r="I37" s="2"/>
    </row>
    <row r="38" spans="1:9" ht="16" x14ac:dyDescent="0.2">
      <c r="A38" s="5" t="s">
        <v>257</v>
      </c>
      <c r="B38" s="12" t="s">
        <v>337</v>
      </c>
      <c r="C38" s="12"/>
      <c r="D38" s="12" t="str">
        <f>IFERROR(VLOOKUP(A38,#REF!,2,FALSE),"")</f>
        <v/>
      </c>
      <c r="E38" s="12" t="str">
        <f>IFERROR(VLOOKUP(#REF!,#REF!,2,FALSE),"")</f>
        <v/>
      </c>
      <c r="F38" s="12" t="str">
        <f>IFERROR(VLOOKUP(B38,#REF!,2,FALSE),"")</f>
        <v/>
      </c>
      <c r="G38" s="2"/>
      <c r="H38" s="2"/>
      <c r="I38" s="2"/>
    </row>
    <row r="39" spans="1:9" ht="16" x14ac:dyDescent="0.2">
      <c r="A39" s="8" t="s">
        <v>383</v>
      </c>
      <c r="B39" s="12" t="s">
        <v>15</v>
      </c>
      <c r="C39" s="12"/>
      <c r="D39" s="12" t="str">
        <f>IFERROR(VLOOKUP(A39,#REF!,2,FALSE),"")</f>
        <v/>
      </c>
      <c r="E39" s="12" t="str">
        <f>IFERROR(VLOOKUP(#REF!,#REF!,2,FALSE),"")</f>
        <v/>
      </c>
      <c r="F39" s="12" t="str">
        <f>IFERROR(VLOOKUP(B39,#REF!,2,FALSE),"")</f>
        <v/>
      </c>
      <c r="G39" s="2"/>
      <c r="H39" s="2"/>
      <c r="I39" s="2"/>
    </row>
    <row r="40" spans="1:9" ht="16" x14ac:dyDescent="0.2">
      <c r="A40" s="8" t="s">
        <v>138</v>
      </c>
      <c r="B40" s="12" t="s">
        <v>15</v>
      </c>
      <c r="C40" s="12"/>
      <c r="D40" s="12" t="str">
        <f>IFERROR(VLOOKUP(A40,#REF!,2,FALSE),"")</f>
        <v/>
      </c>
      <c r="E40" s="12" t="str">
        <f>IFERROR(VLOOKUP(#REF!,#REF!,2,FALSE),"")</f>
        <v/>
      </c>
      <c r="F40" s="12" t="str">
        <f>IFERROR(VLOOKUP(B40,#REF!,2,FALSE),"")</f>
        <v/>
      </c>
      <c r="G40" s="2"/>
      <c r="H40" s="2"/>
      <c r="I40" s="2"/>
    </row>
    <row r="41" spans="1:9" ht="16" x14ac:dyDescent="0.2">
      <c r="A41" s="5" t="s">
        <v>259</v>
      </c>
      <c r="B41" s="12" t="s">
        <v>337</v>
      </c>
      <c r="C41" s="12"/>
      <c r="D41" s="12" t="str">
        <f>IFERROR(VLOOKUP(A41,#REF!,2,FALSE),"")</f>
        <v/>
      </c>
      <c r="E41" s="12" t="str">
        <f>IFERROR(VLOOKUP(#REF!,#REF!,2,FALSE),"")</f>
        <v/>
      </c>
      <c r="F41" s="12" t="str">
        <f>IFERROR(VLOOKUP(B41,#REF!,2,FALSE),"")</f>
        <v/>
      </c>
      <c r="G41" s="2"/>
      <c r="H41" s="2"/>
      <c r="I41" s="2"/>
    </row>
    <row r="42" spans="1:9" ht="16" x14ac:dyDescent="0.2">
      <c r="A42" s="5" t="s">
        <v>367</v>
      </c>
      <c r="B42" s="12" t="s">
        <v>341</v>
      </c>
      <c r="C42" s="12"/>
      <c r="D42" s="12" t="str">
        <f>IFERROR(VLOOKUP(A42,#REF!,2,FALSE),"")</f>
        <v/>
      </c>
      <c r="E42" s="12" t="str">
        <f>IFERROR(VLOOKUP(#REF!,#REF!,2,FALSE),"")</f>
        <v/>
      </c>
      <c r="F42" s="12" t="str">
        <f>IFERROR(VLOOKUP(B42,#REF!,2,FALSE),"")</f>
        <v/>
      </c>
      <c r="G42" s="2"/>
      <c r="H42" s="2"/>
      <c r="I42" s="2"/>
    </row>
    <row r="43" spans="1:9" ht="16" x14ac:dyDescent="0.2">
      <c r="A43" s="5" t="s">
        <v>261</v>
      </c>
      <c r="B43" s="12" t="s">
        <v>337</v>
      </c>
      <c r="C43" s="12"/>
      <c r="D43" s="12" t="str">
        <f>IFERROR(VLOOKUP(A43,#REF!,2,FALSE),"")</f>
        <v/>
      </c>
      <c r="E43" s="12" t="str">
        <f>IFERROR(VLOOKUP(#REF!,#REF!,2,FALSE),"")</f>
        <v/>
      </c>
      <c r="F43" s="12" t="str">
        <f>IFERROR(VLOOKUP(B43,#REF!,2,FALSE),"")</f>
        <v/>
      </c>
      <c r="G43" s="2"/>
      <c r="H43" s="2"/>
      <c r="I43" s="2"/>
    </row>
    <row r="44" spans="1:9" ht="16" x14ac:dyDescent="0.2">
      <c r="A44" s="5" t="s">
        <v>263</v>
      </c>
      <c r="B44" s="12" t="s">
        <v>337</v>
      </c>
      <c r="C44" s="12"/>
      <c r="D44" s="12" t="str">
        <f>IFERROR(VLOOKUP(A44,#REF!,2,FALSE),"")</f>
        <v/>
      </c>
      <c r="E44" s="12" t="str">
        <f>IFERROR(VLOOKUP(#REF!,#REF!,2,FALSE),"")</f>
        <v/>
      </c>
      <c r="F44" s="12" t="str">
        <f>IFERROR(VLOOKUP(B44,#REF!,2,FALSE),"")</f>
        <v/>
      </c>
      <c r="G44" s="2"/>
      <c r="H44" s="2"/>
      <c r="I44" s="2"/>
    </row>
    <row r="45" spans="1:9" ht="16" x14ac:dyDescent="0.2">
      <c r="A45" s="11" t="s">
        <v>263</v>
      </c>
      <c r="B45" s="12" t="s">
        <v>359</v>
      </c>
      <c r="C45" s="12"/>
      <c r="D45" s="12" t="str">
        <f>IFERROR(VLOOKUP(A45,#REF!,2,FALSE),"")</f>
        <v/>
      </c>
      <c r="E45" s="12" t="str">
        <f>IFERROR(VLOOKUP(#REF!,#REF!,2,FALSE),"")</f>
        <v/>
      </c>
      <c r="F45" s="12" t="str">
        <f>IFERROR(VLOOKUP(B45,#REF!,2,FALSE),"")</f>
        <v/>
      </c>
      <c r="G45" s="2"/>
      <c r="H45" s="2"/>
      <c r="I45" s="2"/>
    </row>
    <row r="46" spans="1:9" ht="16" x14ac:dyDescent="0.2">
      <c r="A46" s="5" t="s">
        <v>190</v>
      </c>
      <c r="B46" s="12" t="s">
        <v>253</v>
      </c>
      <c r="C46" s="12"/>
      <c r="D46" s="12" t="str">
        <f>IFERROR(VLOOKUP(A46,#REF!,2,FALSE),"")</f>
        <v/>
      </c>
      <c r="E46" s="12" t="str">
        <f>IFERROR(VLOOKUP(#REF!,#REF!,2,FALSE),"")</f>
        <v/>
      </c>
      <c r="F46" s="12" t="str">
        <f>IFERROR(VLOOKUP(B46,#REF!,2,FALSE),"")</f>
        <v/>
      </c>
      <c r="G46" s="2"/>
      <c r="H46" s="2"/>
      <c r="I46" s="2"/>
    </row>
    <row r="47" spans="1:9" ht="16" x14ac:dyDescent="0.2">
      <c r="A47" s="5" t="s">
        <v>265</v>
      </c>
      <c r="B47" s="12" t="s">
        <v>337</v>
      </c>
      <c r="C47" s="12"/>
      <c r="D47" s="12" t="str">
        <f>IFERROR(VLOOKUP(A47,#REF!,2,FALSE),"")</f>
        <v/>
      </c>
      <c r="E47" s="12" t="str">
        <f>IFERROR(VLOOKUP(#REF!,#REF!,2,FALSE),"")</f>
        <v/>
      </c>
      <c r="F47" s="12" t="str">
        <f>IFERROR(VLOOKUP(B47,#REF!,2,FALSE),"")</f>
        <v/>
      </c>
      <c r="G47" s="2"/>
      <c r="H47" s="2"/>
      <c r="I47" s="2"/>
    </row>
    <row r="48" spans="1:9" ht="16" x14ac:dyDescent="0.2">
      <c r="A48" s="5" t="s">
        <v>192</v>
      </c>
      <c r="B48" s="12" t="s">
        <v>253</v>
      </c>
      <c r="C48" s="12"/>
      <c r="D48" s="12" t="str">
        <f>IFERROR(VLOOKUP(A48,#REF!,2,FALSE),"")</f>
        <v/>
      </c>
      <c r="E48" s="12" t="str">
        <f>IFERROR(VLOOKUP(#REF!,#REF!,2,FALSE),"")</f>
        <v/>
      </c>
      <c r="F48" s="12" t="str">
        <f>IFERROR(VLOOKUP(B48,#REF!,2,FALSE),"")</f>
        <v/>
      </c>
      <c r="G48" s="2"/>
      <c r="H48" s="2"/>
      <c r="I48" s="2"/>
    </row>
    <row r="49" spans="1:9" ht="16" x14ac:dyDescent="0.2">
      <c r="A49" s="5" t="s">
        <v>194</v>
      </c>
      <c r="B49" s="12" t="s">
        <v>253</v>
      </c>
      <c r="C49" s="12"/>
      <c r="D49" s="12" t="str">
        <f>IFERROR(VLOOKUP(A49,#REF!,2,FALSE),"")</f>
        <v/>
      </c>
      <c r="E49" s="12" t="str">
        <f>IFERROR(VLOOKUP(#REF!,#REF!,2,FALSE),"")</f>
        <v/>
      </c>
      <c r="F49" s="12" t="str">
        <f>IFERROR(VLOOKUP(B49,#REF!,2,FALSE),"")</f>
        <v/>
      </c>
      <c r="G49" s="2"/>
      <c r="H49" s="2"/>
      <c r="I49" s="2"/>
    </row>
    <row r="50" spans="1:9" ht="16" x14ac:dyDescent="0.2">
      <c r="A50" s="36" t="s">
        <v>134</v>
      </c>
      <c r="B50" s="12" t="s">
        <v>10</v>
      </c>
      <c r="C50" s="12"/>
      <c r="D50" s="12" t="str">
        <f>IFERROR(VLOOKUP(A50,#REF!,2,FALSE),"")</f>
        <v/>
      </c>
      <c r="E50" s="12" t="str">
        <f>IFERROR(VLOOKUP(#REF!,#REF!,2,FALSE),"")</f>
        <v/>
      </c>
      <c r="F50" s="12" t="str">
        <f>IFERROR(VLOOKUP(B50,#REF!,2,FALSE),"")</f>
        <v/>
      </c>
      <c r="G50" s="2"/>
      <c r="H50" s="2"/>
      <c r="I50" s="2"/>
    </row>
    <row r="51" spans="1:9" ht="16" x14ac:dyDescent="0.2">
      <c r="A51" s="5" t="s">
        <v>196</v>
      </c>
      <c r="B51" s="12" t="s">
        <v>253</v>
      </c>
      <c r="C51" s="12"/>
      <c r="D51" s="12" t="str">
        <f>IFERROR(VLOOKUP(A51,#REF!,2,FALSE),"")</f>
        <v/>
      </c>
      <c r="E51" s="12" t="str">
        <f>IFERROR(VLOOKUP(#REF!,#REF!,2,FALSE),"")</f>
        <v/>
      </c>
      <c r="F51" s="12" t="str">
        <f>IFERROR(VLOOKUP(B51,#REF!,2,FALSE),"")</f>
        <v/>
      </c>
      <c r="G51" s="2"/>
      <c r="H51" s="2"/>
      <c r="I51" s="2"/>
    </row>
    <row r="52" spans="1:9" ht="16" x14ac:dyDescent="0.2">
      <c r="A52" s="5" t="s">
        <v>26</v>
      </c>
      <c r="B52" s="12" t="s">
        <v>254</v>
      </c>
      <c r="C52" s="12"/>
      <c r="D52" s="12" t="str">
        <f>IFERROR(VLOOKUP(A52,#REF!,2,FALSE),"")</f>
        <v/>
      </c>
      <c r="E52" s="12" t="str">
        <f>IFERROR(VLOOKUP(#REF!,#REF!,2,FALSE),"")</f>
        <v/>
      </c>
      <c r="F52" s="12" t="str">
        <f>IFERROR(VLOOKUP(B52,#REF!,2,FALSE),"")</f>
        <v/>
      </c>
      <c r="G52" s="2"/>
      <c r="H52" s="2"/>
      <c r="I52" s="2"/>
    </row>
    <row r="53" spans="1:9" ht="16" x14ac:dyDescent="0.2">
      <c r="A53" s="5" t="s">
        <v>39</v>
      </c>
      <c r="B53" s="12" t="s">
        <v>254</v>
      </c>
      <c r="C53" s="12"/>
      <c r="D53" s="12" t="str">
        <f>IFERROR(VLOOKUP(A53,#REF!,2,FALSE),"")</f>
        <v/>
      </c>
      <c r="E53" s="12" t="str">
        <f>IFERROR(VLOOKUP(#REF!,#REF!,2,FALSE),"")</f>
        <v/>
      </c>
      <c r="F53" s="12" t="str">
        <f>IFERROR(VLOOKUP(B53,#REF!,2,FALSE),"")</f>
        <v/>
      </c>
      <c r="G53" s="2"/>
      <c r="H53" s="2"/>
      <c r="I53" s="2"/>
    </row>
    <row r="54" spans="1:9" ht="16" x14ac:dyDescent="0.2">
      <c r="A54" s="5" t="s">
        <v>391</v>
      </c>
      <c r="B54" s="12" t="s">
        <v>341</v>
      </c>
      <c r="C54" s="12"/>
      <c r="D54" s="12" t="str">
        <f>IFERROR(VLOOKUP(A54,#REF!,2,FALSE),"")</f>
        <v/>
      </c>
      <c r="E54" s="12" t="str">
        <f>IFERROR(VLOOKUP(#REF!,#REF!,2,FALSE),"")</f>
        <v/>
      </c>
      <c r="F54" s="12" t="str">
        <f>IFERROR(VLOOKUP(B54,#REF!,2,FALSE),"")</f>
        <v/>
      </c>
      <c r="G54" s="2"/>
      <c r="H54" s="2"/>
      <c r="I54" s="2"/>
    </row>
    <row r="55" spans="1:9" ht="16" x14ac:dyDescent="0.2">
      <c r="A55" s="15" t="s">
        <v>374</v>
      </c>
      <c r="B55" s="14" t="s">
        <v>341</v>
      </c>
      <c r="C55" s="12"/>
      <c r="D55" s="12" t="str">
        <f>IFERROR(VLOOKUP(A55,#REF!,2,FALSE),"")</f>
        <v/>
      </c>
      <c r="E55" s="12" t="str">
        <f>IFERROR(VLOOKUP(#REF!,#REF!,2,FALSE),"")</f>
        <v/>
      </c>
      <c r="F55" s="12" t="str">
        <f>IFERROR(VLOOKUP(B55,#REF!,2,FALSE),"")</f>
        <v/>
      </c>
      <c r="G55" s="2"/>
      <c r="H55" s="2"/>
      <c r="I55" s="2"/>
    </row>
    <row r="56" spans="1:9" ht="16" x14ac:dyDescent="0.2">
      <c r="A56" s="5" t="s">
        <v>198</v>
      </c>
      <c r="B56" s="12" t="s">
        <v>253</v>
      </c>
      <c r="C56" s="12"/>
      <c r="D56" s="12" t="str">
        <f>IFERROR(VLOOKUP(A56,#REF!,2,FALSE),"")</f>
        <v/>
      </c>
      <c r="E56" s="12" t="str">
        <f>IFERROR(VLOOKUP(#REF!,#REF!,2,FALSE),"")</f>
        <v/>
      </c>
      <c r="F56" s="12" t="str">
        <f>IFERROR(VLOOKUP(B56,#REF!,2,FALSE),"")</f>
        <v/>
      </c>
      <c r="G56" s="2"/>
      <c r="H56" s="2"/>
      <c r="I56" s="2"/>
    </row>
    <row r="57" spans="1:9" ht="16" x14ac:dyDescent="0.2">
      <c r="A57" s="5" t="s">
        <v>42</v>
      </c>
      <c r="B57" s="12" t="s">
        <v>254</v>
      </c>
      <c r="C57" s="12"/>
      <c r="D57" s="12" t="str">
        <f>IFERROR(VLOOKUP(A57,#REF!,2,FALSE),"")</f>
        <v/>
      </c>
      <c r="E57" s="12" t="str">
        <f>IFERROR(VLOOKUP(#REF!,#REF!,2,FALSE),"")</f>
        <v/>
      </c>
      <c r="F57" s="12" t="str">
        <f>IFERROR(VLOOKUP(B57,#REF!,2,FALSE),"")</f>
        <v/>
      </c>
      <c r="G57" s="2"/>
      <c r="H57" s="2"/>
      <c r="I57" s="2"/>
    </row>
    <row r="58" spans="1:9" ht="16" x14ac:dyDescent="0.2">
      <c r="A58" s="12" t="s">
        <v>419</v>
      </c>
      <c r="B58" s="12" t="s">
        <v>359</v>
      </c>
      <c r="C58" s="12"/>
      <c r="D58" s="12" t="str">
        <f>IFERROR(VLOOKUP(A58,#REF!,2,FALSE),"")</f>
        <v/>
      </c>
      <c r="E58" s="12" t="str">
        <f>IFERROR(VLOOKUP(#REF!,#REF!,2,FALSE),"")</f>
        <v/>
      </c>
      <c r="F58" s="12" t="str">
        <f>IFERROR(VLOOKUP(B58,#REF!,2,FALSE),"")</f>
        <v/>
      </c>
      <c r="G58" s="2"/>
      <c r="H58" s="2"/>
      <c r="I58" s="2"/>
    </row>
    <row r="59" spans="1:9" ht="16" x14ac:dyDescent="0.2">
      <c r="A59" s="5" t="s">
        <v>267</v>
      </c>
      <c r="B59" s="12" t="s">
        <v>337</v>
      </c>
      <c r="C59" s="12"/>
      <c r="D59" s="12" t="str">
        <f>IFERROR(VLOOKUP(A59,#REF!,2,FALSE),"")</f>
        <v/>
      </c>
      <c r="E59" s="12" t="str">
        <f>IFERROR(VLOOKUP(#REF!,#REF!,2,FALSE),"")</f>
        <v/>
      </c>
      <c r="F59" s="12" t="str">
        <f>IFERROR(VLOOKUP(B59,#REF!,2,FALSE),"")</f>
        <v/>
      </c>
      <c r="G59" s="2"/>
      <c r="H59" s="2"/>
      <c r="I59" s="2"/>
    </row>
    <row r="60" spans="1:9" ht="16" x14ac:dyDescent="0.2">
      <c r="A60" s="5" t="s">
        <v>269</v>
      </c>
      <c r="B60" s="12" t="s">
        <v>337</v>
      </c>
      <c r="C60" s="12"/>
      <c r="D60" s="12" t="str">
        <f>IFERROR(VLOOKUP(A60,#REF!,2,FALSE),"")</f>
        <v/>
      </c>
      <c r="E60" s="12" t="str">
        <f>IFERROR(VLOOKUP(#REF!,#REF!,2,FALSE),"")</f>
        <v/>
      </c>
      <c r="F60" s="12" t="str">
        <f>IFERROR(VLOOKUP(B60,#REF!,2,FALSE),"")</f>
        <v/>
      </c>
      <c r="G60" s="2"/>
      <c r="H60" s="2"/>
      <c r="I60" s="2"/>
    </row>
    <row r="61" spans="1:9" ht="16" x14ac:dyDescent="0.2">
      <c r="A61" s="5" t="s">
        <v>162</v>
      </c>
      <c r="B61" s="12" t="s">
        <v>253</v>
      </c>
      <c r="C61" s="12"/>
      <c r="D61" s="12" t="str">
        <f>IFERROR(VLOOKUP(A61,#REF!,2,FALSE),"")</f>
        <v/>
      </c>
      <c r="E61" s="12" t="str">
        <f>IFERROR(VLOOKUP(#REF!,#REF!,2,FALSE),"")</f>
        <v/>
      </c>
      <c r="F61" s="12" t="str">
        <f>IFERROR(VLOOKUP(B61,#REF!,2,FALSE),"")</f>
        <v/>
      </c>
      <c r="G61" s="2"/>
      <c r="H61" s="2"/>
      <c r="I61" s="2"/>
    </row>
    <row r="62" spans="1:9" ht="16" x14ac:dyDescent="0.2">
      <c r="A62" s="5" t="s">
        <v>200</v>
      </c>
      <c r="B62" s="12" t="s">
        <v>253</v>
      </c>
      <c r="C62" s="12"/>
      <c r="D62" s="12" t="str">
        <f>IFERROR(VLOOKUP(A62,#REF!,2,FALSE),"")</f>
        <v/>
      </c>
      <c r="E62" s="12" t="str">
        <f>IFERROR(VLOOKUP(#REF!,#REF!,2,FALSE),"")</f>
        <v/>
      </c>
      <c r="F62" s="12" t="str">
        <f>IFERROR(VLOOKUP(B62,#REF!,2,FALSE),"")</f>
        <v/>
      </c>
      <c r="G62" s="2"/>
      <c r="H62" s="2"/>
      <c r="I62" s="2"/>
    </row>
    <row r="63" spans="1:9" ht="16" x14ac:dyDescent="0.2">
      <c r="A63" s="36" t="s">
        <v>131</v>
      </c>
      <c r="B63" s="12" t="s">
        <v>10</v>
      </c>
      <c r="C63" s="12"/>
      <c r="D63" s="12" t="str">
        <f>IFERROR(VLOOKUP(A63,#REF!,2,FALSE),"")</f>
        <v/>
      </c>
      <c r="E63" s="12" t="str">
        <f>IFERROR(VLOOKUP(#REF!,#REF!,2,FALSE),"")</f>
        <v/>
      </c>
      <c r="F63" s="12" t="str">
        <f>IFERROR(VLOOKUP(B63,#REF!,2,FALSE),"")</f>
        <v/>
      </c>
      <c r="G63" s="2"/>
      <c r="H63" s="2"/>
      <c r="I63" s="2"/>
    </row>
    <row r="64" spans="1:9" ht="16" x14ac:dyDescent="0.2">
      <c r="A64" s="16" t="s">
        <v>236</v>
      </c>
      <c r="B64" s="12" t="s">
        <v>253</v>
      </c>
      <c r="C64" s="12"/>
      <c r="D64" s="12" t="str">
        <f>IFERROR(VLOOKUP(A64,#REF!,2,FALSE),"")</f>
        <v/>
      </c>
      <c r="E64" s="12" t="str">
        <f>IFERROR(VLOOKUP(#REF!,#REF!,2,FALSE),"")</f>
        <v/>
      </c>
      <c r="F64" s="12" t="str">
        <f>IFERROR(VLOOKUP(B64,#REF!,2,FALSE),"")</f>
        <v/>
      </c>
      <c r="G64" s="2"/>
      <c r="H64" s="2"/>
      <c r="I64" s="2"/>
    </row>
    <row r="65" spans="1:9" ht="16" x14ac:dyDescent="0.2">
      <c r="A65" s="5" t="s">
        <v>271</v>
      </c>
      <c r="B65" s="12" t="s">
        <v>337</v>
      </c>
      <c r="C65" s="12"/>
      <c r="D65" s="12" t="str">
        <f>IFERROR(VLOOKUP(A65,#REF!,2,FALSE),"")</f>
        <v/>
      </c>
      <c r="E65" s="12" t="str">
        <f>IFERROR(VLOOKUP(#REF!,#REF!,2,FALSE),"")</f>
        <v/>
      </c>
      <c r="F65" s="12" t="str">
        <f>IFERROR(VLOOKUP(B65,#REF!,2,FALSE),"")</f>
        <v/>
      </c>
      <c r="G65" s="2"/>
      <c r="H65" s="2"/>
      <c r="I65" s="2"/>
    </row>
    <row r="66" spans="1:9" ht="16" x14ac:dyDescent="0.2">
      <c r="A66" s="5" t="s">
        <v>339</v>
      </c>
      <c r="B66" s="12" t="s">
        <v>341</v>
      </c>
      <c r="C66" s="12"/>
      <c r="D66" s="12" t="str">
        <f>IFERROR(VLOOKUP(A66,#REF!,2,FALSE),"")</f>
        <v/>
      </c>
      <c r="E66" s="12" t="str">
        <f>IFERROR(VLOOKUP(#REF!,#REF!,2,FALSE),"")</f>
        <v/>
      </c>
      <c r="F66" s="12" t="str">
        <f>IFERROR(VLOOKUP(B66,#REF!,2,FALSE),"")</f>
        <v/>
      </c>
      <c r="G66" s="2"/>
      <c r="H66" s="2"/>
      <c r="I66" s="2"/>
    </row>
    <row r="67" spans="1:9" ht="16" x14ac:dyDescent="0.2">
      <c r="A67" s="8" t="s">
        <v>132</v>
      </c>
      <c r="B67" s="12" t="s">
        <v>15</v>
      </c>
      <c r="C67" s="12"/>
      <c r="D67" s="12" t="str">
        <f>IFERROR(VLOOKUP(A67,#REF!,2,FALSE),"")</f>
        <v/>
      </c>
      <c r="E67" s="12" t="str">
        <f>IFERROR(VLOOKUP(#REF!,#REF!,2,FALSE),"")</f>
        <v/>
      </c>
      <c r="F67" s="12" t="str">
        <f>IFERROR(VLOOKUP(B67,#REF!,2,FALSE),"")</f>
        <v/>
      </c>
      <c r="G67" s="2"/>
      <c r="H67" s="2"/>
      <c r="I67" s="2"/>
    </row>
    <row r="68" spans="1:9" ht="16" x14ac:dyDescent="0.2">
      <c r="A68" s="36" t="s">
        <v>132</v>
      </c>
      <c r="B68" s="12" t="s">
        <v>10</v>
      </c>
      <c r="C68" s="12"/>
      <c r="D68" s="12" t="str">
        <f>IFERROR(VLOOKUP(#REF!,#REF!,2,FALSE),"")</f>
        <v/>
      </c>
      <c r="E68" s="12" t="str">
        <f>IFERROR(VLOOKUP(#REF!,#REF!,2,FALSE),"")</f>
        <v/>
      </c>
      <c r="F68" s="12" t="str">
        <f>IFERROR(VLOOKUP(B68,#REF!,2,FALSE),"")</f>
        <v/>
      </c>
      <c r="G68" s="2"/>
      <c r="H68" s="2"/>
      <c r="I68" s="2"/>
    </row>
    <row r="69" spans="1:9" ht="16" x14ac:dyDescent="0.2">
      <c r="A69" s="5" t="s">
        <v>202</v>
      </c>
      <c r="B69" s="12" t="s">
        <v>253</v>
      </c>
      <c r="C69" s="12"/>
      <c r="D69" s="12" t="str">
        <f>IFERROR(VLOOKUP(A69,#REF!,2,FALSE),"")</f>
        <v/>
      </c>
      <c r="E69" s="12" t="str">
        <f>IFERROR(VLOOKUP(#REF!,#REF!,2,FALSE),"")</f>
        <v/>
      </c>
      <c r="F69" s="12" t="str">
        <f>IFERROR(VLOOKUP(B69,#REF!,2,FALSE),"")</f>
        <v/>
      </c>
      <c r="G69" s="2"/>
      <c r="H69" s="2"/>
      <c r="I69" s="2"/>
    </row>
    <row r="70" spans="1:9" ht="16" x14ac:dyDescent="0.2">
      <c r="A70" s="8" t="s">
        <v>382</v>
      </c>
      <c r="B70" s="12" t="s">
        <v>15</v>
      </c>
      <c r="C70" s="12"/>
      <c r="D70" s="12" t="str">
        <f>IFERROR(VLOOKUP(A70,#REF!,2,FALSE),"")</f>
        <v/>
      </c>
      <c r="E70" s="12" t="str">
        <f>IFERROR(VLOOKUP(#REF!,#REF!,2,FALSE),"")</f>
        <v/>
      </c>
      <c r="F70" s="12" t="str">
        <f>IFERROR(VLOOKUP(B70,#REF!,2,FALSE),"")</f>
        <v/>
      </c>
      <c r="G70" s="2"/>
      <c r="H70" s="2"/>
      <c r="I70" s="2"/>
    </row>
    <row r="71" spans="1:9" ht="16" x14ac:dyDescent="0.2">
      <c r="A71" s="8" t="s">
        <v>140</v>
      </c>
      <c r="B71" s="12" t="s">
        <v>15</v>
      </c>
      <c r="C71" s="12"/>
      <c r="D71" s="12" t="str">
        <f>IFERROR(VLOOKUP(A71,#REF!,2,FALSE),"")</f>
        <v/>
      </c>
      <c r="E71" s="12" t="str">
        <f>IFERROR(VLOOKUP(#REF!,#REF!,2,FALSE),"")</f>
        <v/>
      </c>
      <c r="F71" s="12" t="str">
        <f>IFERROR(VLOOKUP(B71,#REF!,2,FALSE),"")</f>
        <v/>
      </c>
      <c r="G71" s="2"/>
      <c r="H71" s="2"/>
      <c r="I71" s="2"/>
    </row>
    <row r="72" spans="1:9" ht="16" x14ac:dyDescent="0.2">
      <c r="A72" s="11" t="s">
        <v>204</v>
      </c>
      <c r="B72" s="12" t="s">
        <v>253</v>
      </c>
      <c r="C72" s="12"/>
      <c r="D72" s="12" t="str">
        <f>IFERROR(VLOOKUP(A72,#REF!,2,FALSE),"")</f>
        <v/>
      </c>
      <c r="E72" s="12" t="str">
        <f>IFERROR(VLOOKUP(#REF!,#REF!,2,FALSE),"")</f>
        <v/>
      </c>
      <c r="F72" s="12" t="str">
        <f>IFERROR(VLOOKUP(B72,#REF!,2,FALSE),"")</f>
        <v/>
      </c>
      <c r="G72" s="2"/>
      <c r="H72" s="2"/>
      <c r="I72" s="2"/>
    </row>
    <row r="73" spans="1:9" ht="16" x14ac:dyDescent="0.2">
      <c r="A73" s="5" t="s">
        <v>240</v>
      </c>
      <c r="B73" s="12" t="s">
        <v>253</v>
      </c>
      <c r="C73" s="12"/>
      <c r="D73" s="12" t="str">
        <f>IFERROR(VLOOKUP(A73,#REF!,2,FALSE),"")</f>
        <v/>
      </c>
      <c r="E73" s="12" t="str">
        <f>IFERROR(VLOOKUP(#REF!,#REF!,2,FALSE),"")</f>
        <v/>
      </c>
      <c r="F73" s="12" t="str">
        <f>IFERROR(VLOOKUP(B73,#REF!,2,FALSE),"")</f>
        <v/>
      </c>
      <c r="G73" s="2"/>
      <c r="H73" s="2"/>
      <c r="I73" s="2"/>
    </row>
    <row r="74" spans="1:9" ht="16" x14ac:dyDescent="0.2">
      <c r="A74" s="25" t="s">
        <v>427</v>
      </c>
      <c r="B74" s="12" t="s">
        <v>15</v>
      </c>
      <c r="C74" s="12"/>
      <c r="D74" s="12" t="str">
        <f>IFERROR(VLOOKUP(A74,#REF!,2,FALSE),"")</f>
        <v/>
      </c>
      <c r="E74" s="12" t="str">
        <f>IFERROR(VLOOKUP(#REF!,#REF!,2,FALSE),"")</f>
        <v/>
      </c>
      <c r="F74" s="12" t="str">
        <f>IFERROR(VLOOKUP(B74,#REF!,2,FALSE),"")</f>
        <v/>
      </c>
      <c r="G74" s="2"/>
      <c r="H74" s="2"/>
      <c r="I74" s="2"/>
    </row>
    <row r="75" spans="1:9" ht="16" x14ac:dyDescent="0.2">
      <c r="A75" s="8" t="s">
        <v>377</v>
      </c>
      <c r="B75" s="12" t="s">
        <v>15</v>
      </c>
      <c r="C75" s="12"/>
      <c r="D75" s="12"/>
      <c r="E75" s="12"/>
      <c r="F75" s="12"/>
      <c r="G75" s="2"/>
      <c r="H75" s="2"/>
      <c r="I75" s="2"/>
    </row>
    <row r="76" spans="1:9" ht="16" x14ac:dyDescent="0.2">
      <c r="A76" s="5" t="s">
        <v>242</v>
      </c>
      <c r="B76" s="12" t="s">
        <v>253</v>
      </c>
      <c r="C76" s="12"/>
      <c r="D76" s="12" t="str">
        <f>IFERROR(VLOOKUP(A76,#REF!,2,FALSE),"")</f>
        <v/>
      </c>
      <c r="E76" s="12" t="str">
        <f>IFERROR(VLOOKUP(#REF!,#REF!,2,FALSE),"")</f>
        <v/>
      </c>
      <c r="F76" s="12" t="str">
        <f>IFERROR(VLOOKUP(B76,#REF!,2,FALSE),"")</f>
        <v/>
      </c>
      <c r="G76" s="2"/>
      <c r="H76" s="2"/>
      <c r="I76" s="2"/>
    </row>
    <row r="77" spans="1:9" ht="16" x14ac:dyDescent="0.2">
      <c r="A77" s="16" t="s">
        <v>206</v>
      </c>
      <c r="B77" s="12" t="s">
        <v>253</v>
      </c>
      <c r="C77" s="12"/>
      <c r="D77" s="12" t="str">
        <f>IFERROR(VLOOKUP(A77,#REF!,2,FALSE),"")</f>
        <v/>
      </c>
      <c r="E77" s="12" t="str">
        <f>IFERROR(VLOOKUP(#REF!,#REF!,2,FALSE),"")</f>
        <v/>
      </c>
      <c r="F77" s="12" t="str">
        <f>IFERROR(VLOOKUP(B77,#REF!,2,FALSE),"")</f>
        <v/>
      </c>
      <c r="G77" s="2"/>
      <c r="H77" s="2"/>
      <c r="I77" s="2"/>
    </row>
    <row r="78" spans="1:9" ht="16" x14ac:dyDescent="0.2">
      <c r="A78" s="5" t="s">
        <v>34</v>
      </c>
      <c r="B78" s="12" t="s">
        <v>254</v>
      </c>
      <c r="C78" s="12"/>
      <c r="D78" s="12"/>
      <c r="E78" s="12"/>
      <c r="F78" s="12"/>
      <c r="G78" s="2"/>
      <c r="H78" s="2"/>
      <c r="I78" s="2"/>
    </row>
    <row r="79" spans="1:9" ht="16" x14ac:dyDescent="0.2">
      <c r="A79" s="5" t="s">
        <v>273</v>
      </c>
      <c r="B79" s="12" t="s">
        <v>337</v>
      </c>
      <c r="C79" s="12"/>
      <c r="D79" s="12" t="str">
        <f>IFERROR(VLOOKUP(A79,#REF!,2,FALSE),"")</f>
        <v/>
      </c>
      <c r="E79" s="12" t="str">
        <f>IFERROR(VLOOKUP(#REF!,#REF!,2,FALSE),"")</f>
        <v/>
      </c>
      <c r="F79" s="12" t="str">
        <f>IFERROR(VLOOKUP(B79,#REF!,2,FALSE),"")</f>
        <v/>
      </c>
      <c r="G79" s="2"/>
      <c r="H79" s="2"/>
      <c r="I79" s="2"/>
    </row>
    <row r="80" spans="1:9" ht="16" x14ac:dyDescent="0.2">
      <c r="A80" s="5" t="s">
        <v>275</v>
      </c>
      <c r="B80" s="12" t="s">
        <v>337</v>
      </c>
      <c r="C80" s="12"/>
      <c r="D80" s="12" t="str">
        <f>IFERROR(VLOOKUP(A80,#REF!,2,FALSE),"")</f>
        <v/>
      </c>
      <c r="E80" s="12" t="str">
        <f>IFERROR(VLOOKUP(#REF!,#REF!,2,FALSE),"")</f>
        <v/>
      </c>
      <c r="F80" s="12" t="str">
        <f>IFERROR(VLOOKUP(B80,#REF!,2,FALSE),"")</f>
        <v/>
      </c>
      <c r="G80" s="2"/>
      <c r="H80" s="2"/>
      <c r="I80" s="2"/>
    </row>
    <row r="81" spans="1:9" ht="16" x14ac:dyDescent="0.2">
      <c r="A81" s="5" t="s">
        <v>277</v>
      </c>
      <c r="B81" s="12" t="s">
        <v>337</v>
      </c>
      <c r="C81" s="12"/>
      <c r="D81" s="12" t="str">
        <f>IFERROR(VLOOKUP(A81,#REF!,2,FALSE),"")</f>
        <v/>
      </c>
      <c r="E81" s="12" t="str">
        <f>IFERROR(VLOOKUP(#REF!,#REF!,2,FALSE),"")</f>
        <v/>
      </c>
      <c r="F81" s="12" t="str">
        <f>IFERROR(VLOOKUP(B81,#REF!,2,FALSE),"")</f>
        <v/>
      </c>
      <c r="G81" s="2"/>
      <c r="H81" s="2"/>
      <c r="I81" s="2"/>
    </row>
    <row r="82" spans="1:9" ht="16" x14ac:dyDescent="0.2">
      <c r="A82" s="5" t="s">
        <v>22</v>
      </c>
      <c r="B82" s="12" t="s">
        <v>254</v>
      </c>
      <c r="C82" s="12"/>
      <c r="D82" s="12" t="str">
        <f>IFERROR(VLOOKUP(A82,#REF!,2,FALSE),"")</f>
        <v/>
      </c>
      <c r="E82" s="12" t="str">
        <f>IFERROR(VLOOKUP(#REF!,#REF!,2,FALSE),"")</f>
        <v/>
      </c>
      <c r="F82" s="12" t="str">
        <f>IFERROR(VLOOKUP(B82,#REF!,2,FALSE),"")</f>
        <v/>
      </c>
      <c r="G82" s="2"/>
      <c r="H82" s="2"/>
      <c r="I82" s="2"/>
    </row>
    <row r="83" spans="1:9" ht="16" x14ac:dyDescent="0.2">
      <c r="A83" s="12" t="s">
        <v>387</v>
      </c>
      <c r="B83" s="12" t="s">
        <v>341</v>
      </c>
      <c r="C83" s="12"/>
      <c r="D83" s="12" t="str">
        <f>IFERROR(VLOOKUP(#REF!,#REF!,2,FALSE),"")</f>
        <v/>
      </c>
      <c r="E83" s="12" t="str">
        <f>IFERROR(VLOOKUP(#REF!,#REF!,2,FALSE),"")</f>
        <v/>
      </c>
      <c r="F83" s="12" t="str">
        <f>IFERROR(VLOOKUP(B83,#REF!,2,FALSE),"")</f>
        <v/>
      </c>
      <c r="G83" s="2"/>
      <c r="H83" s="2"/>
      <c r="I83" s="2"/>
    </row>
    <row r="84" spans="1:9" ht="16" x14ac:dyDescent="0.2">
      <c r="A84" s="5" t="s">
        <v>208</v>
      </c>
      <c r="B84" s="12" t="s">
        <v>253</v>
      </c>
      <c r="C84" s="12"/>
      <c r="D84" s="12" t="str">
        <f>IFERROR(VLOOKUP(A84,#REF!,2,FALSE),"")</f>
        <v/>
      </c>
      <c r="E84" s="12" t="str">
        <f>IFERROR(VLOOKUP(#REF!,#REF!,2,FALSE),"")</f>
        <v/>
      </c>
      <c r="F84" s="12" t="str">
        <f>IFERROR(VLOOKUP(B84,#REF!,2,FALSE),"")</f>
        <v/>
      </c>
      <c r="G84" s="2"/>
      <c r="H84" s="2"/>
      <c r="I84" s="2"/>
    </row>
    <row r="85" spans="1:9" ht="16" x14ac:dyDescent="0.2">
      <c r="A85" s="12" t="s">
        <v>344</v>
      </c>
      <c r="B85" s="12" t="s">
        <v>341</v>
      </c>
      <c r="C85" s="12"/>
      <c r="D85" s="12" t="str">
        <f>IFERROR(VLOOKUP(A85,#REF!,2,FALSE),"")</f>
        <v/>
      </c>
      <c r="E85" s="12" t="str">
        <f>IFERROR(VLOOKUP(#REF!,#REF!,2,FALSE),"")</f>
        <v/>
      </c>
      <c r="F85" s="12" t="str">
        <f>IFERROR(VLOOKUP(B85,#REF!,2,FALSE),"")</f>
        <v/>
      </c>
      <c r="G85" s="2"/>
      <c r="H85" s="2"/>
      <c r="I85" s="2"/>
    </row>
    <row r="86" spans="1:9" ht="16" x14ac:dyDescent="0.2">
      <c r="A86" s="5" t="s">
        <v>210</v>
      </c>
      <c r="B86" s="12" t="s">
        <v>253</v>
      </c>
      <c r="C86" s="12"/>
      <c r="D86" s="12" t="str">
        <f>IFERROR(VLOOKUP(A86,#REF!,2,FALSE),"")</f>
        <v/>
      </c>
      <c r="E86" s="12" t="str">
        <f>IFERROR(VLOOKUP(#REF!,#REF!,2,FALSE),"")</f>
        <v/>
      </c>
      <c r="F86" s="12" t="str">
        <f>IFERROR(VLOOKUP(B86,#REF!,2,FALSE),"")</f>
        <v/>
      </c>
      <c r="G86" s="2"/>
      <c r="H86" s="2"/>
      <c r="I86" s="2"/>
    </row>
    <row r="87" spans="1:9" ht="16" x14ac:dyDescent="0.2">
      <c r="A87" s="5" t="s">
        <v>279</v>
      </c>
      <c r="B87" s="12" t="s">
        <v>337</v>
      </c>
      <c r="C87" s="12"/>
      <c r="D87" s="12" t="str">
        <f>IFERROR(VLOOKUP(A87,#REF!,2,FALSE),"")</f>
        <v/>
      </c>
      <c r="E87" s="12" t="str">
        <f>IFERROR(VLOOKUP(#REF!,#REF!,2,FALSE),"")</f>
        <v/>
      </c>
      <c r="F87" s="12" t="str">
        <f>IFERROR(VLOOKUP(B87,#REF!,2,FALSE),"")</f>
        <v/>
      </c>
      <c r="G87" s="2"/>
      <c r="H87" s="2"/>
      <c r="I87" s="2"/>
    </row>
    <row r="88" spans="1:9" ht="16" x14ac:dyDescent="0.2">
      <c r="A88" s="5" t="s">
        <v>281</v>
      </c>
      <c r="B88" s="12" t="s">
        <v>337</v>
      </c>
      <c r="C88" s="12"/>
      <c r="D88" s="12" t="str">
        <f>IFERROR(VLOOKUP(A88,#REF!,2,FALSE),"")</f>
        <v/>
      </c>
      <c r="E88" s="12" t="str">
        <f>IFERROR(VLOOKUP(#REF!,#REF!,2,FALSE),"")</f>
        <v/>
      </c>
      <c r="F88" s="12" t="str">
        <f>IFERROR(VLOOKUP(B88,#REF!,2,FALSE),"")</f>
        <v/>
      </c>
      <c r="G88" s="2"/>
      <c r="H88" s="2"/>
      <c r="I88" s="2"/>
    </row>
    <row r="89" spans="1:9" ht="16" x14ac:dyDescent="0.2">
      <c r="A89" s="5" t="s">
        <v>283</v>
      </c>
      <c r="B89" s="12" t="s">
        <v>337</v>
      </c>
      <c r="C89" s="12"/>
      <c r="D89" s="12" t="str">
        <f>IFERROR(VLOOKUP(A89,#REF!,2,FALSE),"")</f>
        <v/>
      </c>
      <c r="E89" s="12" t="str">
        <f>IFERROR(VLOOKUP(#REF!,#REF!,2,FALSE),"")</f>
        <v/>
      </c>
      <c r="F89" s="12" t="str">
        <f>IFERROR(VLOOKUP(B89,#REF!,2,FALSE),"")</f>
        <v/>
      </c>
      <c r="G89" s="2"/>
      <c r="H89" s="2"/>
      <c r="I89" s="2"/>
    </row>
    <row r="90" spans="1:9" ht="16" x14ac:dyDescent="0.2">
      <c r="A90" s="5" t="s">
        <v>285</v>
      </c>
      <c r="B90" s="12" t="s">
        <v>337</v>
      </c>
      <c r="C90" s="12"/>
      <c r="D90" s="12" t="str">
        <f>IFERROR(VLOOKUP(A90,#REF!,2,FALSE),"")</f>
        <v/>
      </c>
      <c r="E90" s="12" t="str">
        <f>IFERROR(VLOOKUP(#REF!,#REF!,2,FALSE),"")</f>
        <v/>
      </c>
      <c r="F90" s="12" t="str">
        <f>IFERROR(VLOOKUP(B90,#REF!,2,FALSE),"")</f>
        <v/>
      </c>
      <c r="G90" s="2"/>
      <c r="H90" s="2"/>
      <c r="I90" s="2"/>
    </row>
    <row r="91" spans="1:9" ht="16" x14ac:dyDescent="0.2">
      <c r="A91" s="5" t="s">
        <v>246</v>
      </c>
      <c r="B91" s="12" t="s">
        <v>253</v>
      </c>
      <c r="C91" s="12"/>
      <c r="D91" s="12" t="str">
        <f>IFERROR(VLOOKUP(A91,#REF!,2,FALSE),"")</f>
        <v/>
      </c>
      <c r="E91" s="12" t="str">
        <f>IFERROR(VLOOKUP(#REF!,#REF!,2,FALSE),"")</f>
        <v/>
      </c>
      <c r="F91" s="12" t="str">
        <f>IFERROR(VLOOKUP(B91,#REF!,2,FALSE),"")</f>
        <v/>
      </c>
      <c r="G91" s="2"/>
      <c r="H91" s="2"/>
      <c r="I91" s="2"/>
    </row>
    <row r="92" spans="1:9" ht="16" x14ac:dyDescent="0.2">
      <c r="A92" s="12" t="s">
        <v>246</v>
      </c>
      <c r="B92" s="12" t="s">
        <v>341</v>
      </c>
      <c r="C92" s="12"/>
      <c r="D92" s="12" t="str">
        <f>IFERROR(VLOOKUP(A92,#REF!,2,FALSE),"")</f>
        <v/>
      </c>
      <c r="E92" s="12" t="str">
        <f>IFERROR(VLOOKUP(#REF!,#REF!,2,FALSE),"")</f>
        <v/>
      </c>
      <c r="F92" s="12" t="str">
        <f>IFERROR(VLOOKUP(B92,#REF!,2,FALSE),"")</f>
        <v/>
      </c>
      <c r="G92" s="2"/>
      <c r="H92" s="2"/>
      <c r="I92" s="2"/>
    </row>
    <row r="93" spans="1:9" ht="16" x14ac:dyDescent="0.2">
      <c r="A93" s="5" t="s">
        <v>287</v>
      </c>
      <c r="B93" s="12" t="s">
        <v>337</v>
      </c>
      <c r="C93" s="12"/>
      <c r="D93" s="12" t="str">
        <f>IFERROR(VLOOKUP(A93,#REF!,2,FALSE),"")</f>
        <v/>
      </c>
      <c r="E93" s="12" t="str">
        <f>IFERROR(VLOOKUP(#REF!,#REF!,2,FALSE),"")</f>
        <v/>
      </c>
      <c r="F93" s="12" t="str">
        <f>IFERROR(VLOOKUP(B93,#REF!,2,FALSE),"")</f>
        <v/>
      </c>
      <c r="G93" s="2"/>
      <c r="H93" s="2"/>
      <c r="I93" s="2"/>
    </row>
    <row r="94" spans="1:9" ht="16" x14ac:dyDescent="0.2">
      <c r="A94" s="5" t="s">
        <v>120</v>
      </c>
      <c r="B94" s="12" t="s">
        <v>254</v>
      </c>
      <c r="C94" s="12"/>
      <c r="D94" s="12" t="str">
        <f>IFERROR(VLOOKUP(A94,#REF!,2,FALSE),"")</f>
        <v/>
      </c>
      <c r="E94" s="12" t="str">
        <f>IFERROR(VLOOKUP(#REF!,#REF!,2,FALSE),"")</f>
        <v/>
      </c>
      <c r="F94" s="12" t="str">
        <f>IFERROR(VLOOKUP(B94,#REF!,2,FALSE),"")</f>
        <v/>
      </c>
      <c r="G94" s="2"/>
      <c r="H94" s="2"/>
      <c r="I94" s="2"/>
    </row>
    <row r="95" spans="1:9" ht="16" x14ac:dyDescent="0.2">
      <c r="A95" s="17" t="s">
        <v>376</v>
      </c>
      <c r="B95" s="12" t="s">
        <v>15</v>
      </c>
      <c r="C95" s="12"/>
      <c r="D95" s="12" t="str">
        <f>IFERROR(VLOOKUP(A95,#REF!,2,FALSE),"")</f>
        <v/>
      </c>
      <c r="E95" s="12" t="str">
        <f>IFERROR(VLOOKUP(#REF!,#REF!,2,FALSE),"")</f>
        <v/>
      </c>
      <c r="F95" s="12" t="str">
        <f>IFERROR(VLOOKUP(B95,#REF!,2,FALSE),"")</f>
        <v/>
      </c>
      <c r="G95" s="2"/>
      <c r="H95" s="2"/>
      <c r="I95" s="2"/>
    </row>
    <row r="96" spans="1:9" ht="16" x14ac:dyDescent="0.2">
      <c r="A96" s="5" t="s">
        <v>212</v>
      </c>
      <c r="B96" s="12" t="s">
        <v>253</v>
      </c>
      <c r="C96" s="12"/>
      <c r="D96" s="12" t="str">
        <f>IFERROR(VLOOKUP(A96,#REF!,2,FALSE),"")</f>
        <v/>
      </c>
      <c r="E96" s="12" t="str">
        <f>IFERROR(VLOOKUP(#REF!,#REF!,2,FALSE),"")</f>
        <v/>
      </c>
      <c r="F96" s="12" t="str">
        <f>IFERROR(VLOOKUP(B96,#REF!,2,FALSE),"")</f>
        <v/>
      </c>
      <c r="G96" s="2"/>
      <c r="H96" s="2"/>
      <c r="I96" s="2"/>
    </row>
    <row r="97" spans="1:9" ht="16" x14ac:dyDescent="0.2">
      <c r="A97" s="5" t="s">
        <v>289</v>
      </c>
      <c r="B97" s="12" t="s">
        <v>337</v>
      </c>
      <c r="C97" s="12"/>
      <c r="D97" s="12" t="str">
        <f>IFERROR(VLOOKUP(A97,#REF!,2,FALSE),"")</f>
        <v/>
      </c>
      <c r="E97" s="12" t="str">
        <f>IFERROR(VLOOKUP(#REF!,#REF!,2,FALSE),"")</f>
        <v/>
      </c>
      <c r="F97" s="12" t="str">
        <f>IFERROR(VLOOKUP(B97,#REF!,2,FALSE),"")</f>
        <v/>
      </c>
      <c r="G97" s="2"/>
      <c r="H97" s="2"/>
      <c r="I97" s="2"/>
    </row>
    <row r="98" spans="1:9" ht="16" x14ac:dyDescent="0.2">
      <c r="A98" s="5" t="s">
        <v>24</v>
      </c>
      <c r="B98" s="12" t="s">
        <v>254</v>
      </c>
      <c r="C98" s="12"/>
      <c r="D98" s="12" t="str">
        <f>IFERROR(VLOOKUP(A98,#REF!,2,FALSE),"")</f>
        <v/>
      </c>
      <c r="E98" s="12" t="str">
        <f>IFERROR(VLOOKUP(#REF!,#REF!,2,FALSE),"")</f>
        <v/>
      </c>
      <c r="F98" s="12" t="str">
        <f>IFERROR(VLOOKUP(B98,#REF!,2,FALSE),"")</f>
        <v/>
      </c>
      <c r="G98" s="2"/>
      <c r="H98" s="2"/>
      <c r="I98" s="2"/>
    </row>
    <row r="99" spans="1:9" ht="16" x14ac:dyDescent="0.2">
      <c r="A99" s="5" t="s">
        <v>158</v>
      </c>
      <c r="B99" s="12" t="s">
        <v>253</v>
      </c>
      <c r="C99" s="12"/>
      <c r="D99" s="12" t="str">
        <f>IFERROR(VLOOKUP(A99,#REF!,2,FALSE),"")</f>
        <v/>
      </c>
      <c r="E99" s="12" t="str">
        <f>IFERROR(VLOOKUP(#REF!,#REF!,2,FALSE),"")</f>
        <v/>
      </c>
      <c r="F99" s="12" t="str">
        <f>IFERROR(VLOOKUP(B99,#REF!,2,FALSE),"")</f>
        <v/>
      </c>
      <c r="G99" s="2"/>
      <c r="H99" s="2"/>
      <c r="I99" s="2"/>
    </row>
    <row r="100" spans="1:9" ht="16" x14ac:dyDescent="0.2">
      <c r="A100" s="5" t="s">
        <v>122</v>
      </c>
      <c r="B100" s="12" t="s">
        <v>254</v>
      </c>
      <c r="C100" s="12"/>
      <c r="D100" s="12" t="str">
        <f>IFERROR(VLOOKUP(A100,#REF!,2,FALSE),"")</f>
        <v/>
      </c>
      <c r="E100" s="12" t="str">
        <f>IFERROR(VLOOKUP(#REF!,#REF!,2,FALSE),"")</f>
        <v/>
      </c>
      <c r="F100" s="12" t="str">
        <f>IFERROR(VLOOKUP(B100,#REF!,2,FALSE),"")</f>
        <v/>
      </c>
      <c r="G100" s="2"/>
      <c r="H100" s="2"/>
      <c r="I100" s="2"/>
    </row>
    <row r="101" spans="1:9" ht="16" x14ac:dyDescent="0.2">
      <c r="A101" s="16" t="s">
        <v>160</v>
      </c>
      <c r="B101" s="12" t="s">
        <v>253</v>
      </c>
      <c r="C101" s="12"/>
      <c r="D101" s="12" t="str">
        <f>IFERROR(VLOOKUP(A101,#REF!,2,FALSE),"")</f>
        <v/>
      </c>
      <c r="E101" s="12" t="str">
        <f>IFERROR(VLOOKUP(#REF!,#REF!,2,FALSE),"")</f>
        <v/>
      </c>
      <c r="F101" s="12" t="str">
        <f>IFERROR(VLOOKUP(B101,#REF!,2,FALSE),"")</f>
        <v/>
      </c>
      <c r="G101" s="2"/>
      <c r="H101" s="2"/>
      <c r="I101" s="2"/>
    </row>
    <row r="102" spans="1:9" ht="16" x14ac:dyDescent="0.2">
      <c r="A102" s="5" t="s">
        <v>291</v>
      </c>
      <c r="B102" s="12" t="s">
        <v>337</v>
      </c>
      <c r="C102" s="12"/>
      <c r="D102" s="12" t="str">
        <f>IFERROR(VLOOKUP(A102,#REF!,2,FALSE),"")</f>
        <v/>
      </c>
      <c r="E102" s="12" t="str">
        <f>IFERROR(VLOOKUP(#REF!,#REF!,2,FALSE),"")</f>
        <v/>
      </c>
      <c r="F102" s="12" t="str">
        <f>IFERROR(VLOOKUP(B102,#REF!,2,FALSE),"")</f>
        <v/>
      </c>
      <c r="G102" s="2"/>
      <c r="H102" s="2"/>
      <c r="I102" s="2"/>
    </row>
    <row r="103" spans="1:9" ht="16" x14ac:dyDescent="0.2">
      <c r="A103" s="12" t="s">
        <v>346</v>
      </c>
      <c r="B103" s="12" t="s">
        <v>341</v>
      </c>
      <c r="C103" s="12"/>
      <c r="D103" s="12" t="str">
        <f>IFERROR(VLOOKUP(A103,#REF!,2,FALSE),"")</f>
        <v/>
      </c>
      <c r="E103" s="12" t="str">
        <f>IFERROR(VLOOKUP(#REF!,#REF!,2,FALSE),"")</f>
        <v/>
      </c>
      <c r="F103" s="12" t="str">
        <f>IFERROR(VLOOKUP(B103,#REF!,2,FALSE),"")</f>
        <v/>
      </c>
      <c r="G103" s="2"/>
      <c r="H103" s="2"/>
      <c r="I103" s="2"/>
    </row>
    <row r="104" spans="1:9" ht="16" x14ac:dyDescent="0.2">
      <c r="A104" s="18" t="s">
        <v>214</v>
      </c>
      <c r="B104" s="12" t="s">
        <v>253</v>
      </c>
      <c r="C104" s="12"/>
      <c r="D104" s="12" t="str">
        <f>IFERROR(VLOOKUP(A104,#REF!,2,FALSE),"")</f>
        <v/>
      </c>
      <c r="E104" s="12" t="str">
        <f>IFERROR(VLOOKUP(#REF!,#REF!,2,FALSE),"")</f>
        <v/>
      </c>
      <c r="F104" s="12" t="str">
        <f>IFERROR(VLOOKUP(B104,#REF!,2,FALSE),"")</f>
        <v/>
      </c>
      <c r="G104" s="2"/>
      <c r="H104" s="2"/>
      <c r="I104" s="2"/>
    </row>
    <row r="105" spans="1:9" ht="16" x14ac:dyDescent="0.2">
      <c r="A105" s="19" t="s">
        <v>216</v>
      </c>
      <c r="B105" s="12" t="s">
        <v>253</v>
      </c>
      <c r="C105" s="12"/>
      <c r="D105" s="12" t="str">
        <f>IFERROR(VLOOKUP(A105,#REF!,2,FALSE),"")</f>
        <v/>
      </c>
      <c r="E105" s="12" t="str">
        <f>IFERROR(VLOOKUP(#REF!,#REF!,2,FALSE),"")</f>
        <v/>
      </c>
      <c r="F105" s="12" t="str">
        <f>IFERROR(VLOOKUP(B105,#REF!,2,FALSE),"")</f>
        <v/>
      </c>
      <c r="G105" s="2"/>
      <c r="H105" s="2"/>
      <c r="I105" s="2"/>
    </row>
    <row r="106" spans="1:9" ht="16" x14ac:dyDescent="0.2">
      <c r="A106" s="5" t="s">
        <v>164</v>
      </c>
      <c r="B106" s="12" t="s">
        <v>253</v>
      </c>
      <c r="C106" s="12"/>
      <c r="D106" s="12" t="str">
        <f>IFERROR(VLOOKUP(A106,#REF!,2,FALSE),"")</f>
        <v/>
      </c>
      <c r="E106" s="12" t="str">
        <f>IFERROR(VLOOKUP(#REF!,#REF!,2,FALSE),"")</f>
        <v/>
      </c>
      <c r="F106" s="12" t="str">
        <f>IFERROR(VLOOKUP(B106,#REF!,2,FALSE),"")</f>
        <v/>
      </c>
      <c r="G106" s="2"/>
      <c r="H106" s="2"/>
      <c r="I106" s="2"/>
    </row>
    <row r="107" spans="1:9" ht="16" x14ac:dyDescent="0.2">
      <c r="A107" s="11" t="s">
        <v>365</v>
      </c>
      <c r="B107" s="12" t="s">
        <v>359</v>
      </c>
      <c r="C107" s="12"/>
      <c r="D107" s="12" t="str">
        <f>IFERROR(VLOOKUP(A107,#REF!,2,FALSE),"")</f>
        <v/>
      </c>
      <c r="E107" s="12" t="str">
        <f>IFERROR(VLOOKUP(#REF!,#REF!,2,FALSE),"")</f>
        <v/>
      </c>
      <c r="F107" s="12" t="str">
        <f>IFERROR(VLOOKUP(B107,#REF!,2,FALSE),"")</f>
        <v/>
      </c>
      <c r="G107" s="2"/>
      <c r="H107" s="2"/>
      <c r="I107" s="2"/>
    </row>
    <row r="108" spans="1:9" ht="16" x14ac:dyDescent="0.2">
      <c r="A108" s="5" t="s">
        <v>293</v>
      </c>
      <c r="B108" s="12" t="s">
        <v>337</v>
      </c>
      <c r="C108" s="12"/>
      <c r="D108" s="12" t="str">
        <f>IFERROR(VLOOKUP(A108,#REF!,2,FALSE),"")</f>
        <v/>
      </c>
      <c r="E108" s="12" t="str">
        <f>IFERROR(VLOOKUP(#REF!,#REF!,2,FALSE),"")</f>
        <v/>
      </c>
      <c r="F108" s="12" t="str">
        <f>IFERROR(VLOOKUP(B108,#REF!,2,FALSE),"")</f>
        <v/>
      </c>
      <c r="G108" s="2"/>
      <c r="H108" s="2"/>
      <c r="I108" s="2"/>
    </row>
    <row r="109" spans="1:9" ht="16" x14ac:dyDescent="0.2">
      <c r="A109" s="5" t="s">
        <v>36</v>
      </c>
      <c r="B109" s="12" t="s">
        <v>254</v>
      </c>
      <c r="C109" s="12"/>
      <c r="D109" s="12" t="str">
        <f>IFERROR(VLOOKUP(A109,#REF!,2,FALSE),"")</f>
        <v/>
      </c>
      <c r="E109" s="12" t="str">
        <f>IFERROR(VLOOKUP(#REF!,#REF!,2,FALSE),"")</f>
        <v/>
      </c>
      <c r="F109" s="12" t="str">
        <f>IFERROR(VLOOKUP(B109,#REF!,2,FALSE),"")</f>
        <v/>
      </c>
      <c r="G109" s="2"/>
      <c r="H109" s="2"/>
      <c r="I109" s="2"/>
    </row>
    <row r="110" spans="1:9" ht="16" x14ac:dyDescent="0.2">
      <c r="A110" s="8" t="s">
        <v>368</v>
      </c>
      <c r="B110" s="12" t="s">
        <v>15</v>
      </c>
      <c r="C110" s="12"/>
      <c r="D110" s="12" t="str">
        <f>IFERROR(VLOOKUP(A110,#REF!,2,FALSE),"")</f>
        <v/>
      </c>
      <c r="E110" s="12" t="str">
        <f>IFERROR(VLOOKUP(#REF!,#REF!,2,FALSE),"")</f>
        <v/>
      </c>
      <c r="F110" s="12" t="str">
        <f>IFERROR(VLOOKUP(B110,#REF!,2,FALSE),"")</f>
        <v/>
      </c>
      <c r="G110" s="2"/>
      <c r="H110" s="2"/>
      <c r="I110" s="2"/>
    </row>
    <row r="111" spans="1:9" ht="16" x14ac:dyDescent="0.2">
      <c r="A111" s="25" t="s">
        <v>362</v>
      </c>
      <c r="B111" s="12" t="s">
        <v>15</v>
      </c>
      <c r="C111" s="12"/>
      <c r="D111" s="12" t="str">
        <f>IFERROR(VLOOKUP(A111,#REF!,2,FALSE),"")</f>
        <v/>
      </c>
      <c r="E111" s="12" t="str">
        <f>IFERROR(VLOOKUP(#REF!,#REF!,2,FALSE),"")</f>
        <v/>
      </c>
      <c r="F111" s="12" t="str">
        <f>IFERROR(VLOOKUP(B111,#REF!,2,FALSE),"")</f>
        <v/>
      </c>
      <c r="G111" s="2"/>
      <c r="H111" s="2"/>
      <c r="I111" s="2"/>
    </row>
    <row r="112" spans="1:9" ht="16" x14ac:dyDescent="0.2">
      <c r="A112" s="5" t="s">
        <v>295</v>
      </c>
      <c r="B112" s="12" t="s">
        <v>337</v>
      </c>
      <c r="C112" s="12"/>
      <c r="D112" s="12" t="str">
        <f>IFERROR(VLOOKUP(A112,#REF!,2,FALSE),"")</f>
        <v/>
      </c>
      <c r="E112" s="12" t="str">
        <f>IFERROR(VLOOKUP(#REF!,#REF!,2,FALSE),"")</f>
        <v/>
      </c>
      <c r="F112" s="12" t="str">
        <f>IFERROR(VLOOKUP(B112,#REF!,2,FALSE),"")</f>
        <v/>
      </c>
      <c r="G112" s="2"/>
      <c r="H112" s="2"/>
      <c r="I112" s="2"/>
    </row>
    <row r="113" spans="1:9" ht="16" x14ac:dyDescent="0.2">
      <c r="A113" s="20" t="s">
        <v>37</v>
      </c>
      <c r="B113" s="12" t="s">
        <v>254</v>
      </c>
      <c r="C113" s="12"/>
      <c r="D113" s="12" t="str">
        <f>IFERROR(VLOOKUP(A113,#REF!,2,FALSE),"")</f>
        <v/>
      </c>
      <c r="E113" s="12" t="str">
        <f>IFERROR(VLOOKUP(#REF!,#REF!,2,FALSE),"")</f>
        <v/>
      </c>
      <c r="F113" s="12" t="str">
        <f>IFERROR(VLOOKUP(B113,#REF!,2,FALSE),"")</f>
        <v/>
      </c>
      <c r="G113" s="2"/>
      <c r="H113" s="2"/>
      <c r="I113" s="2"/>
    </row>
    <row r="114" spans="1:9" ht="16" x14ac:dyDescent="0.2">
      <c r="A114" s="36" t="s">
        <v>130</v>
      </c>
      <c r="B114" s="12" t="s">
        <v>10</v>
      </c>
      <c r="C114" s="12"/>
      <c r="D114" s="12" t="str">
        <f>IFERROR(VLOOKUP(A114,#REF!,2,FALSE),"")</f>
        <v/>
      </c>
      <c r="E114" s="12" t="str">
        <f>IFERROR(VLOOKUP(#REF!,#REF!,2,FALSE),"")</f>
        <v/>
      </c>
      <c r="F114" s="12" t="str">
        <f>IFERROR(VLOOKUP(B114,#REF!,2,FALSE),"")</f>
        <v/>
      </c>
      <c r="G114" s="2"/>
      <c r="H114" s="2"/>
      <c r="I114" s="2"/>
    </row>
    <row r="115" spans="1:9" ht="16" x14ac:dyDescent="0.2">
      <c r="A115" s="12" t="s">
        <v>417</v>
      </c>
      <c r="B115" s="12" t="s">
        <v>359</v>
      </c>
      <c r="C115" s="12"/>
      <c r="D115" s="12" t="str">
        <f>IFERROR(VLOOKUP(A115,#REF!,2,FALSE),"")</f>
        <v/>
      </c>
      <c r="E115" s="12" t="str">
        <f>IFERROR(VLOOKUP(#REF!,#REF!,2,FALSE),"")</f>
        <v/>
      </c>
      <c r="F115" s="12" t="str">
        <f>IFERROR(VLOOKUP(B115,#REF!,2,FALSE),"")</f>
        <v/>
      </c>
      <c r="G115" s="2"/>
      <c r="H115" s="2"/>
      <c r="I115" s="2"/>
    </row>
    <row r="116" spans="1:9" ht="16" x14ac:dyDescent="0.2">
      <c r="A116" s="5" t="s">
        <v>297</v>
      </c>
      <c r="B116" s="12" t="s">
        <v>337</v>
      </c>
      <c r="C116" s="12"/>
      <c r="D116" s="12" t="str">
        <f>IFERROR(VLOOKUP(A116,#REF!,2,FALSE),"")</f>
        <v/>
      </c>
      <c r="E116" s="12" t="str">
        <f>IFERROR(VLOOKUP(#REF!,#REF!,2,FALSE),"")</f>
        <v/>
      </c>
      <c r="F116" s="12" t="str">
        <f>IFERROR(VLOOKUP(B116,#REF!,2,FALSE),"")</f>
        <v/>
      </c>
      <c r="G116" s="2"/>
      <c r="H116" s="2"/>
      <c r="I116" s="2"/>
    </row>
    <row r="117" spans="1:9" ht="16" x14ac:dyDescent="0.2">
      <c r="A117" s="12" t="s">
        <v>416</v>
      </c>
      <c r="B117" s="12" t="s">
        <v>359</v>
      </c>
      <c r="C117" s="12"/>
      <c r="D117" s="12" t="str">
        <f>IFERROR(VLOOKUP(A117,#REF!,2,FALSE),"")</f>
        <v/>
      </c>
      <c r="E117" s="12" t="str">
        <f>IFERROR(VLOOKUP(#REF!,#REF!,2,FALSE),"")</f>
        <v/>
      </c>
      <c r="F117" s="12" t="str">
        <f>IFERROR(VLOOKUP(B117,#REF!,2,FALSE),"")</f>
        <v/>
      </c>
      <c r="G117" s="2"/>
      <c r="H117" s="2"/>
      <c r="I117" s="2"/>
    </row>
    <row r="118" spans="1:9" ht="16" x14ac:dyDescent="0.2">
      <c r="A118" s="36" t="s">
        <v>135</v>
      </c>
      <c r="B118" s="12" t="s">
        <v>10</v>
      </c>
      <c r="C118" s="12"/>
      <c r="D118" s="12" t="str">
        <f>IFERROR(VLOOKUP(A118,#REF!,2,FALSE),"")</f>
        <v/>
      </c>
      <c r="E118" s="12" t="str">
        <f>IFERROR(VLOOKUP(#REF!,#REF!,2,FALSE),"")</f>
        <v/>
      </c>
      <c r="F118" s="12" t="str">
        <f>IFERROR(VLOOKUP(B118,#REF!,2,FALSE),"")</f>
        <v/>
      </c>
      <c r="G118" s="2"/>
      <c r="H118" s="2"/>
      <c r="I118" s="2"/>
    </row>
    <row r="119" spans="1:9" ht="16" x14ac:dyDescent="0.2">
      <c r="A119" s="36" t="s">
        <v>136</v>
      </c>
      <c r="B119" s="12" t="s">
        <v>10</v>
      </c>
      <c r="C119" s="12"/>
      <c r="D119" s="12" t="str">
        <f>IFERROR(VLOOKUP(A119,#REF!,2,FALSE),"")</f>
        <v/>
      </c>
      <c r="E119" s="12" t="str">
        <f>IFERROR(VLOOKUP(#REF!,#REF!,2,FALSE),"")</f>
        <v/>
      </c>
      <c r="F119" s="12" t="str">
        <f>IFERROR(VLOOKUP(B119,#REF!,2,FALSE),"")</f>
        <v/>
      </c>
      <c r="G119" s="2"/>
      <c r="H119" s="2"/>
      <c r="I119" s="2"/>
    </row>
    <row r="120" spans="1:9" ht="16" x14ac:dyDescent="0.2">
      <c r="A120" s="20" t="s">
        <v>25</v>
      </c>
      <c r="B120" s="12" t="s">
        <v>254</v>
      </c>
      <c r="C120" s="12"/>
      <c r="D120" s="12" t="str">
        <f>IFERROR(VLOOKUP(A120,#REF!,2,FALSE),"")</f>
        <v/>
      </c>
      <c r="E120" s="12" t="str">
        <f>IFERROR(VLOOKUP(#REF!,#REF!,2,FALSE),"")</f>
        <v/>
      </c>
      <c r="F120" s="12" t="str">
        <f>IFERROR(VLOOKUP(B120,#REF!,2,FALSE),"")</f>
        <v/>
      </c>
      <c r="G120" s="2"/>
      <c r="H120" s="2"/>
      <c r="I120" s="2"/>
    </row>
    <row r="121" spans="1:9" ht="16" x14ac:dyDescent="0.2">
      <c r="A121" s="25" t="s">
        <v>410</v>
      </c>
      <c r="B121" s="12" t="s">
        <v>15</v>
      </c>
      <c r="C121" s="12"/>
      <c r="D121" s="12" t="str">
        <f>IFERROR(VLOOKUP(A121,#REF!,2,FALSE),"")</f>
        <v/>
      </c>
      <c r="E121" s="12" t="str">
        <f>IFERROR(VLOOKUP(#REF!,#REF!,2,FALSE),"")</f>
        <v/>
      </c>
      <c r="F121" s="12" t="str">
        <f>IFERROR(VLOOKUP(B121,#REF!,2,FALSE),"")</f>
        <v/>
      </c>
      <c r="G121" s="2"/>
      <c r="H121" s="2"/>
      <c r="I121" s="2"/>
    </row>
    <row r="122" spans="1:9" ht="16" x14ac:dyDescent="0.2">
      <c r="A122" s="8" t="s">
        <v>369</v>
      </c>
      <c r="B122" s="12" t="s">
        <v>15</v>
      </c>
      <c r="C122" s="12"/>
      <c r="D122" s="12" t="str">
        <f>IFERROR(VLOOKUP(A122,#REF!,2,FALSE),"")</f>
        <v/>
      </c>
      <c r="E122" s="12" t="str">
        <f>IFERROR(VLOOKUP(#REF!,#REF!,2,FALSE),"")</f>
        <v/>
      </c>
      <c r="F122" s="12" t="str">
        <f>IFERROR(VLOOKUP(B122,#REF!,2,FALSE),"")</f>
        <v/>
      </c>
      <c r="G122" s="2"/>
      <c r="H122" s="2"/>
      <c r="I122" s="2"/>
    </row>
    <row r="123" spans="1:9" ht="16" x14ac:dyDescent="0.2">
      <c r="A123" s="5" t="s">
        <v>218</v>
      </c>
      <c r="B123" s="12" t="s">
        <v>253</v>
      </c>
      <c r="C123" s="12"/>
      <c r="D123" s="12" t="str">
        <f>IFERROR(VLOOKUP(A123,#REF!,2,FALSE),"")</f>
        <v/>
      </c>
      <c r="E123" s="12" t="str">
        <f>IFERROR(VLOOKUP(#REF!,#REF!,2,FALSE),"")</f>
        <v/>
      </c>
      <c r="F123" s="12" t="str">
        <f>IFERROR(VLOOKUP(B123,#REF!,2,FALSE),"")</f>
        <v/>
      </c>
      <c r="G123" s="2"/>
      <c r="H123" s="2"/>
      <c r="I123" s="2"/>
    </row>
    <row r="124" spans="1:9" ht="16" x14ac:dyDescent="0.2">
      <c r="A124" s="5" t="s">
        <v>299</v>
      </c>
      <c r="B124" s="12" t="s">
        <v>337</v>
      </c>
      <c r="C124" s="12"/>
      <c r="D124" s="12" t="str">
        <f>IFERROR(VLOOKUP(A124,#REF!,2,FALSE),"")</f>
        <v/>
      </c>
      <c r="E124" s="12" t="str">
        <f>IFERROR(VLOOKUP(#REF!,#REF!,2,FALSE),"")</f>
        <v/>
      </c>
      <c r="F124" s="12" t="str">
        <f>IFERROR(VLOOKUP(B124,#REF!,2,FALSE),"")</f>
        <v/>
      </c>
      <c r="G124" s="2"/>
      <c r="H124" s="2"/>
      <c r="I124" s="2"/>
    </row>
    <row r="125" spans="1:9" ht="16" x14ac:dyDescent="0.2">
      <c r="A125" s="5" t="s">
        <v>389</v>
      </c>
      <c r="B125" s="12" t="s">
        <v>359</v>
      </c>
      <c r="C125" s="12"/>
      <c r="D125" s="12" t="str">
        <f>IFERROR(VLOOKUP(A125,#REF!,2,FALSE),"")</f>
        <v/>
      </c>
      <c r="E125" s="12" t="str">
        <f>IFERROR(VLOOKUP(#REF!,#REF!,2,FALSE),"")</f>
        <v/>
      </c>
      <c r="F125" s="12" t="str">
        <f>IFERROR(VLOOKUP(B125,#REF!,2,FALSE),"")</f>
        <v/>
      </c>
      <c r="G125" s="2"/>
      <c r="H125" s="2"/>
      <c r="I125" s="2"/>
    </row>
    <row r="126" spans="1:9" ht="16" x14ac:dyDescent="0.2">
      <c r="A126" s="5" t="s">
        <v>248</v>
      </c>
      <c r="B126" s="12" t="s">
        <v>253</v>
      </c>
      <c r="C126" s="12"/>
      <c r="D126" s="12" t="str">
        <f>IFERROR(VLOOKUP(A126,#REF!,2,FALSE),"")</f>
        <v/>
      </c>
      <c r="E126" s="12" t="str">
        <f>IFERROR(VLOOKUP(#REF!,#REF!,2,FALSE),"")</f>
        <v/>
      </c>
      <c r="F126" s="12" t="str">
        <f>IFERROR(VLOOKUP(B126,#REF!,2,FALSE),"")</f>
        <v/>
      </c>
      <c r="G126" s="2"/>
      <c r="H126" s="2"/>
      <c r="I126" s="2"/>
    </row>
    <row r="127" spans="1:9" ht="16" x14ac:dyDescent="0.2">
      <c r="A127" s="5" t="s">
        <v>301</v>
      </c>
      <c r="B127" s="12" t="s">
        <v>337</v>
      </c>
      <c r="C127" s="12"/>
      <c r="D127" s="12" t="str">
        <f>IFERROR(VLOOKUP(A127,#REF!,2,FALSE),"")</f>
        <v/>
      </c>
      <c r="E127" s="12" t="str">
        <f>IFERROR(VLOOKUP(#REF!,#REF!,2,FALSE),"")</f>
        <v/>
      </c>
      <c r="F127" s="12" t="str">
        <f>IFERROR(VLOOKUP(B127,#REF!,2,FALSE),"")</f>
        <v/>
      </c>
      <c r="G127" s="2"/>
      <c r="H127" s="2"/>
      <c r="I127" s="2"/>
    </row>
    <row r="128" spans="1:9" ht="16" x14ac:dyDescent="0.2">
      <c r="A128" s="5" t="s">
        <v>31</v>
      </c>
      <c r="B128" s="12" t="s">
        <v>254</v>
      </c>
      <c r="C128" s="12"/>
      <c r="D128" s="12" t="str">
        <f>IFERROR(VLOOKUP(A128,#REF!,2,FALSE),"")</f>
        <v/>
      </c>
      <c r="E128" s="12" t="str">
        <f>IFERROR(VLOOKUP(#REF!,#REF!,2,FALSE),"")</f>
        <v/>
      </c>
      <c r="F128" s="12" t="str">
        <f>IFERROR(VLOOKUP(B128,#REF!,2,FALSE),"")</f>
        <v/>
      </c>
      <c r="G128" s="2"/>
      <c r="H128" s="2"/>
      <c r="I128" s="2"/>
    </row>
    <row r="129" spans="1:9" ht="16" x14ac:dyDescent="0.2">
      <c r="A129" s="5" t="s">
        <v>220</v>
      </c>
      <c r="B129" s="12" t="s">
        <v>253</v>
      </c>
      <c r="C129" s="12"/>
      <c r="D129" s="12" t="str">
        <f>IFERROR(VLOOKUP(A129,#REF!,2,FALSE),"")</f>
        <v/>
      </c>
      <c r="E129" s="12" t="str">
        <f>IFERROR(VLOOKUP(#REF!,#REF!,2,FALSE),"")</f>
        <v/>
      </c>
      <c r="F129" s="12" t="str">
        <f>IFERROR(VLOOKUP(B129,#REF!,2,FALSE),"")</f>
        <v/>
      </c>
      <c r="G129" s="2"/>
      <c r="H129" s="2"/>
      <c r="I129" s="2"/>
    </row>
    <row r="130" spans="1:9" ht="16" x14ac:dyDescent="0.2">
      <c r="A130" s="33" t="s">
        <v>348</v>
      </c>
      <c r="B130" s="12" t="s">
        <v>341</v>
      </c>
      <c r="C130" s="12"/>
      <c r="D130" s="12"/>
      <c r="E130" s="12"/>
      <c r="F130" s="12"/>
      <c r="G130" s="2"/>
      <c r="H130" s="2"/>
      <c r="I130" s="2"/>
    </row>
    <row r="131" spans="1:9" ht="16" x14ac:dyDescent="0.2">
      <c r="A131" s="21" t="s">
        <v>250</v>
      </c>
      <c r="B131" s="12" t="s">
        <v>253</v>
      </c>
      <c r="C131" s="12"/>
      <c r="D131" s="12" t="str">
        <f>IFERROR(VLOOKUP(A131,#REF!,2,FALSE),"")</f>
        <v/>
      </c>
      <c r="E131" s="12" t="str">
        <f>IFERROR(VLOOKUP(#REF!,#REF!,2,FALSE),"")</f>
        <v/>
      </c>
      <c r="F131" s="12" t="str">
        <f>IFERROR(VLOOKUP(B131,#REF!,2,FALSE),"")</f>
        <v/>
      </c>
      <c r="G131" s="2"/>
      <c r="H131" s="2"/>
      <c r="I131" s="2"/>
    </row>
    <row r="132" spans="1:9" ht="16" x14ac:dyDescent="0.2">
      <c r="A132" s="5" t="s">
        <v>121</v>
      </c>
      <c r="B132" s="12" t="s">
        <v>254</v>
      </c>
      <c r="C132" s="12"/>
      <c r="D132" s="12" t="str">
        <f>IFERROR(VLOOKUP(A132,#REF!,2,FALSE),"")</f>
        <v/>
      </c>
      <c r="E132" s="12" t="str">
        <f>IFERROR(VLOOKUP(#REF!,#REF!,2,FALSE),"")</f>
        <v/>
      </c>
      <c r="F132" s="12" t="str">
        <f>IFERROR(VLOOKUP(B132,#REF!,2,FALSE),"")</f>
        <v/>
      </c>
      <c r="G132" s="2"/>
      <c r="H132" s="2"/>
      <c r="I132" s="2"/>
    </row>
    <row r="133" spans="1:9" ht="16" x14ac:dyDescent="0.2">
      <c r="A133" s="36" t="s">
        <v>128</v>
      </c>
      <c r="B133" s="12" t="s">
        <v>10</v>
      </c>
      <c r="C133" s="12"/>
      <c r="D133" s="12" t="str">
        <f>IFERROR(VLOOKUP(A133,#REF!,2,FALSE),"")</f>
        <v/>
      </c>
      <c r="E133" s="12" t="str">
        <f>IFERROR(VLOOKUP(#REF!,#REF!,2,FALSE),"")</f>
        <v/>
      </c>
      <c r="F133" s="12" t="str">
        <f>IFERROR(VLOOKUP(B133,#REF!,2,FALSE),"")</f>
        <v/>
      </c>
      <c r="G133" s="2"/>
      <c r="H133" s="2"/>
      <c r="I133" s="2"/>
    </row>
    <row r="134" spans="1:9" ht="16" x14ac:dyDescent="0.2">
      <c r="A134" s="36" t="s">
        <v>133</v>
      </c>
      <c r="B134" s="12" t="s">
        <v>10</v>
      </c>
      <c r="C134" s="12"/>
      <c r="D134" s="12" t="str">
        <f>IFERROR(VLOOKUP(A134,#REF!,2,FALSE),"")</f>
        <v/>
      </c>
      <c r="E134" s="12" t="str">
        <f>IFERROR(VLOOKUP(#REF!,#REF!,2,FALSE),"")</f>
        <v/>
      </c>
      <c r="F134" s="12" t="str">
        <f>IFERROR(VLOOKUP(B134,#REF!,2,FALSE),"")</f>
        <v/>
      </c>
      <c r="G134" s="2"/>
      <c r="H134" s="2"/>
      <c r="I134" s="2"/>
    </row>
    <row r="135" spans="1:9" ht="16" x14ac:dyDescent="0.2">
      <c r="A135" s="5" t="s">
        <v>222</v>
      </c>
      <c r="B135" s="12" t="s">
        <v>253</v>
      </c>
      <c r="C135" s="12"/>
      <c r="D135" s="12" t="str">
        <f>IFERROR(VLOOKUP(A135,#REF!,2,FALSE),"")</f>
        <v/>
      </c>
      <c r="E135" s="12" t="str">
        <f>IFERROR(VLOOKUP(#REF!,#REF!,2,FALSE),"")</f>
        <v/>
      </c>
      <c r="F135" s="12" t="str">
        <f>IFERROR(VLOOKUP(B135,#REF!,2,FALSE),"")</f>
        <v/>
      </c>
      <c r="G135" s="2"/>
      <c r="H135" s="2"/>
      <c r="I135" s="2"/>
    </row>
    <row r="136" spans="1:9" ht="16" x14ac:dyDescent="0.2">
      <c r="A136" s="32" t="s">
        <v>303</v>
      </c>
      <c r="B136" s="12" t="s">
        <v>337</v>
      </c>
      <c r="C136" s="12"/>
      <c r="D136" s="12" t="str">
        <f>IFERROR(VLOOKUP(A136,#REF!,2,FALSE),"")</f>
        <v/>
      </c>
      <c r="E136" s="12" t="str">
        <f>IFERROR(VLOOKUP(#REF!,#REF!,2,FALSE),"")</f>
        <v/>
      </c>
      <c r="F136" s="12" t="str">
        <f>IFERROR(VLOOKUP(B136,#REF!,2,FALSE),"")</f>
        <v/>
      </c>
      <c r="G136" s="2"/>
      <c r="H136" s="2"/>
      <c r="I136" s="2"/>
    </row>
    <row r="137" spans="1:9" ht="16" x14ac:dyDescent="0.2">
      <c r="A137" s="5" t="s">
        <v>224</v>
      </c>
      <c r="B137" s="12" t="s">
        <v>253</v>
      </c>
      <c r="C137" s="12"/>
      <c r="D137" s="12" t="str">
        <f>IFERROR(VLOOKUP(A137,#REF!,2,FALSE),"")</f>
        <v/>
      </c>
      <c r="E137" s="12" t="str">
        <f>IFERROR(VLOOKUP(#REF!,#REF!,2,FALSE),"")</f>
        <v/>
      </c>
      <c r="F137" s="12" t="str">
        <f>IFERROR(VLOOKUP(B137,#REF!,2,FALSE),"")</f>
        <v/>
      </c>
      <c r="G137" s="2"/>
      <c r="H137" s="2"/>
      <c r="I137" s="2"/>
    </row>
    <row r="138" spans="1:9" ht="16" x14ac:dyDescent="0.2">
      <c r="A138" s="5" t="s">
        <v>305</v>
      </c>
      <c r="B138" s="12" t="s">
        <v>337</v>
      </c>
      <c r="C138" s="12"/>
      <c r="D138" s="12" t="str">
        <f>IFERROR(VLOOKUP(A138,#REF!,2,FALSE),"")</f>
        <v/>
      </c>
      <c r="E138" s="12" t="str">
        <f>IFERROR(VLOOKUP(#REF!,#REF!,2,FALSE),"")</f>
        <v/>
      </c>
      <c r="F138" s="12" t="str">
        <f>IFERROR(VLOOKUP(B138,#REF!,2,FALSE),"")</f>
        <v/>
      </c>
      <c r="G138" s="2"/>
      <c r="H138" s="2"/>
      <c r="I138" s="2"/>
    </row>
    <row r="139" spans="1:9" ht="16" x14ac:dyDescent="0.2">
      <c r="A139" s="8" t="s">
        <v>360</v>
      </c>
      <c r="B139" s="12" t="s">
        <v>15</v>
      </c>
      <c r="C139" s="12"/>
      <c r="D139" s="12" t="str">
        <f>IFERROR(VLOOKUP(A139,#REF!,2,FALSE),"")</f>
        <v/>
      </c>
      <c r="E139" s="12" t="str">
        <f>IFERROR(VLOOKUP(#REF!,#REF!,2,FALSE),"")</f>
        <v/>
      </c>
      <c r="F139" s="12" t="str">
        <f>IFERROR(VLOOKUP(B139,#REF!,2,FALSE),"")</f>
        <v/>
      </c>
      <c r="G139" s="2"/>
      <c r="H139" s="2"/>
      <c r="I139" s="2"/>
    </row>
    <row r="140" spans="1:9" ht="16" x14ac:dyDescent="0.2">
      <c r="A140" s="5" t="s">
        <v>307</v>
      </c>
      <c r="B140" s="12" t="s">
        <v>337</v>
      </c>
      <c r="C140" s="12"/>
      <c r="D140" s="12" t="str">
        <f>IFERROR(VLOOKUP(A140,#REF!,2,FALSE),"")</f>
        <v/>
      </c>
      <c r="E140" s="12" t="str">
        <f>IFERROR(VLOOKUP(#REF!,#REF!,2,FALSE),"")</f>
        <v/>
      </c>
      <c r="F140" s="12" t="str">
        <f>IFERROR(VLOOKUP(B140,#REF!,2,FALSE),"")</f>
        <v/>
      </c>
      <c r="G140" s="2"/>
      <c r="H140" s="2"/>
      <c r="I140" s="2"/>
    </row>
    <row r="141" spans="1:9" ht="16" x14ac:dyDescent="0.2">
      <c r="A141" s="5" t="s">
        <v>309</v>
      </c>
      <c r="B141" s="12" t="s">
        <v>337</v>
      </c>
      <c r="C141" s="12"/>
      <c r="D141" s="12" t="str">
        <f>IFERROR(VLOOKUP(A141,#REF!,2,FALSE),"")</f>
        <v/>
      </c>
      <c r="E141" s="12" t="str">
        <f>IFERROR(VLOOKUP(#REF!,#REF!,2,FALSE),"")</f>
        <v/>
      </c>
      <c r="F141" s="12" t="str">
        <f>IFERROR(VLOOKUP(B141,#REF!,2,FALSE),"")</f>
        <v/>
      </c>
      <c r="G141" s="2"/>
      <c r="H141" s="2"/>
      <c r="I141" s="2"/>
    </row>
    <row r="142" spans="1:9" ht="16" x14ac:dyDescent="0.2">
      <c r="A142" s="5" t="s">
        <v>21</v>
      </c>
      <c r="B142" s="12" t="s">
        <v>254</v>
      </c>
      <c r="C142" s="12"/>
      <c r="D142" s="12" t="str">
        <f>IFERROR(VLOOKUP(A142,#REF!,2,FALSE),"")</f>
        <v/>
      </c>
      <c r="E142" s="12" t="str">
        <f>IFERROR(VLOOKUP(#REF!,#REF!,2,FALSE),"")</f>
        <v/>
      </c>
      <c r="F142" s="12" t="str">
        <f>IFERROR(VLOOKUP(B142,#REF!,2,FALSE),"")</f>
        <v/>
      </c>
      <c r="G142" s="2"/>
      <c r="H142" s="2"/>
      <c r="I142" s="2"/>
    </row>
    <row r="143" spans="1:9" ht="16" x14ac:dyDescent="0.2">
      <c r="A143" s="16" t="s">
        <v>226</v>
      </c>
      <c r="B143" s="12" t="s">
        <v>253</v>
      </c>
      <c r="C143" s="12"/>
      <c r="D143" s="12" t="str">
        <f>IFERROR(VLOOKUP(A143,#REF!,2,FALSE),"")</f>
        <v/>
      </c>
      <c r="E143" s="12" t="str">
        <f>IFERROR(VLOOKUP(#REF!,#REF!,2,FALSE),"")</f>
        <v/>
      </c>
      <c r="F143" s="12" t="str">
        <f>IFERROR(VLOOKUP(B143,#REF!,2,FALSE),"")</f>
        <v/>
      </c>
      <c r="G143" s="2"/>
      <c r="H143" s="2"/>
      <c r="I143" s="2"/>
    </row>
    <row r="144" spans="1:9" ht="16" x14ac:dyDescent="0.2">
      <c r="A144" s="30" t="s">
        <v>378</v>
      </c>
      <c r="B144" s="12" t="s">
        <v>341</v>
      </c>
      <c r="C144" s="12"/>
      <c r="D144" s="12" t="str">
        <f>IFERROR(VLOOKUP(A144,#REF!,2,FALSE),"")</f>
        <v/>
      </c>
      <c r="E144" s="12" t="str">
        <f>IFERROR(VLOOKUP(#REF!,#REF!,2,FALSE),"")</f>
        <v/>
      </c>
      <c r="F144" s="12" t="str">
        <f>IFERROR(VLOOKUP(B144,#REF!,2,FALSE),"")</f>
        <v/>
      </c>
      <c r="G144" s="2"/>
      <c r="H144" s="2"/>
      <c r="I144" s="2"/>
    </row>
    <row r="145" spans="1:9" ht="16" x14ac:dyDescent="0.2">
      <c r="A145" s="5" t="s">
        <v>311</v>
      </c>
      <c r="B145" s="12" t="s">
        <v>337</v>
      </c>
      <c r="C145" s="12"/>
      <c r="D145" s="12" t="str">
        <f>IFERROR(VLOOKUP(A145,#REF!,2,FALSE),"")</f>
        <v/>
      </c>
      <c r="E145" s="12" t="str">
        <f>IFERROR(VLOOKUP(#REF!,#REF!,2,FALSE),"")</f>
        <v/>
      </c>
      <c r="F145" s="12" t="str">
        <f>IFERROR(VLOOKUP(B145,#REF!,2,FALSE),"")</f>
        <v/>
      </c>
      <c r="G145" s="2"/>
      <c r="H145" s="2"/>
      <c r="I145" s="2"/>
    </row>
    <row r="146" spans="1:9" ht="16" x14ac:dyDescent="0.2">
      <c r="A146" s="5" t="s">
        <v>228</v>
      </c>
      <c r="B146" s="12" t="s">
        <v>253</v>
      </c>
      <c r="C146" s="12"/>
      <c r="D146" s="12" t="str">
        <f>IFERROR(VLOOKUP(A146,#REF!,2,FALSE),"")</f>
        <v/>
      </c>
      <c r="E146" s="12" t="str">
        <f>IFERROR(VLOOKUP(#REF!,#REF!,2,FALSE),"")</f>
        <v/>
      </c>
      <c r="F146" s="12" t="str">
        <f>IFERROR(VLOOKUP(B146,#REF!,2,FALSE),"")</f>
        <v/>
      </c>
      <c r="G146" s="2"/>
      <c r="H146" s="2"/>
      <c r="I146" s="2"/>
    </row>
    <row r="147" spans="1:9" ht="16" x14ac:dyDescent="0.2">
      <c r="A147" s="5" t="s">
        <v>333</v>
      </c>
      <c r="B147" s="12" t="s">
        <v>337</v>
      </c>
      <c r="C147" s="12"/>
      <c r="D147" s="12" t="str">
        <f>IFERROR(VLOOKUP(A147,#REF!,2,FALSE),"")</f>
        <v/>
      </c>
      <c r="E147" s="12" t="str">
        <f>IFERROR(VLOOKUP(#REF!,#REF!,2,FALSE),"")</f>
        <v/>
      </c>
      <c r="F147" s="12" t="str">
        <f>IFERROR(VLOOKUP(B147,#REF!,2,FALSE),"")</f>
        <v/>
      </c>
      <c r="G147" s="2"/>
      <c r="H147" s="2"/>
      <c r="I147" s="2"/>
    </row>
    <row r="148" spans="1:9" ht="16" x14ac:dyDescent="0.2">
      <c r="A148" s="8" t="s">
        <v>141</v>
      </c>
      <c r="B148" s="12" t="s">
        <v>15</v>
      </c>
      <c r="C148" s="12"/>
      <c r="D148" s="12" t="str">
        <f>IFERROR(VLOOKUP(A148,#REF!,2,FALSE),"")</f>
        <v/>
      </c>
      <c r="E148" s="12" t="str">
        <f>IFERROR(VLOOKUP(#REF!,#REF!,2,FALSE),"")</f>
        <v/>
      </c>
      <c r="F148" s="12" t="str">
        <f>IFERROR(VLOOKUP(B148,#REF!,2,FALSE),"")</f>
        <v/>
      </c>
      <c r="G148" s="2"/>
      <c r="H148" s="2"/>
      <c r="I148" s="2"/>
    </row>
    <row r="149" spans="1:9" ht="16" x14ac:dyDescent="0.2">
      <c r="A149" s="5" t="s">
        <v>40</v>
      </c>
      <c r="B149" s="12" t="s">
        <v>254</v>
      </c>
      <c r="C149" s="12"/>
      <c r="D149" s="12" t="str">
        <f>IFERROR(VLOOKUP(A149,#REF!,2,FALSE),"")</f>
        <v/>
      </c>
      <c r="E149" s="12" t="str">
        <f>IFERROR(VLOOKUP(#REF!,#REF!,2,FALSE),"")</f>
        <v/>
      </c>
      <c r="F149" s="12" t="str">
        <f>IFERROR(VLOOKUP(B149,#REF!,2,FALSE),"")</f>
        <v/>
      </c>
      <c r="G149" s="2"/>
      <c r="H149" s="2"/>
      <c r="I149" s="2"/>
    </row>
    <row r="150" spans="1:9" ht="16" x14ac:dyDescent="0.2">
      <c r="A150" s="5" t="s">
        <v>313</v>
      </c>
      <c r="B150" s="12" t="s">
        <v>337</v>
      </c>
      <c r="C150" s="12"/>
      <c r="D150" s="12" t="str">
        <f>IFERROR(VLOOKUP(A150,#REF!,2,FALSE),"")</f>
        <v/>
      </c>
      <c r="E150" s="12" t="str">
        <f>IFERROR(VLOOKUP(#REF!,#REF!,2,FALSE),"")</f>
        <v/>
      </c>
      <c r="F150" s="12" t="str">
        <f>IFERROR(VLOOKUP(B150,#REF!,2,FALSE),"")</f>
        <v/>
      </c>
      <c r="G150" s="2"/>
      <c r="H150" s="2"/>
      <c r="I150" s="2"/>
    </row>
    <row r="151" spans="1:9" ht="16" x14ac:dyDescent="0.2">
      <c r="A151" s="25" t="s">
        <v>424</v>
      </c>
      <c r="B151" s="12" t="s">
        <v>15</v>
      </c>
      <c r="C151" s="12"/>
      <c r="D151" s="12" t="str">
        <f>IFERROR(VLOOKUP(A151,#REF!,2,FALSE),"")</f>
        <v/>
      </c>
      <c r="E151" s="12" t="str">
        <f>IFERROR(VLOOKUP(#REF!,#REF!,2,FALSE),"")</f>
        <v/>
      </c>
      <c r="F151" s="12" t="str">
        <f>IFERROR(VLOOKUP(B151,#REF!,2,FALSE),"")</f>
        <v/>
      </c>
      <c r="G151" s="2"/>
      <c r="H151" s="2"/>
      <c r="I151" s="2"/>
    </row>
    <row r="152" spans="1:9" ht="16" x14ac:dyDescent="0.2">
      <c r="A152" s="25" t="s">
        <v>424</v>
      </c>
      <c r="B152" s="12" t="s">
        <v>15</v>
      </c>
      <c r="C152" s="12"/>
      <c r="D152" s="12"/>
      <c r="E152" s="12"/>
      <c r="F152" s="12"/>
      <c r="G152" s="2"/>
      <c r="H152" s="2"/>
      <c r="I152" s="2"/>
    </row>
    <row r="153" spans="1:9" ht="16" x14ac:dyDescent="0.2">
      <c r="A153" s="5" t="s">
        <v>35</v>
      </c>
      <c r="B153" s="12" t="s">
        <v>254</v>
      </c>
      <c r="C153" s="12"/>
      <c r="D153" s="12" t="str">
        <f>IFERROR(VLOOKUP(A153,#REF!,2,FALSE),"")</f>
        <v/>
      </c>
      <c r="E153" s="12" t="str">
        <f>IFERROR(VLOOKUP(#REF!,#REF!,2,FALSE),"")</f>
        <v/>
      </c>
      <c r="F153" s="12" t="str">
        <f>IFERROR(VLOOKUP(B153,#REF!,2,FALSE),"")</f>
        <v/>
      </c>
      <c r="G153" s="2"/>
      <c r="H153" s="2"/>
      <c r="I153" s="2"/>
    </row>
    <row r="154" spans="1:9" ht="16" x14ac:dyDescent="0.2">
      <c r="A154" s="25" t="s">
        <v>423</v>
      </c>
      <c r="B154" s="12" t="s">
        <v>15</v>
      </c>
      <c r="C154" s="12"/>
      <c r="D154" s="12" t="str">
        <f>IFERROR(VLOOKUP(A154,#REF!,2,FALSE),"")</f>
        <v/>
      </c>
      <c r="E154" s="12" t="str">
        <f>IFERROR(VLOOKUP(#REF!,#REF!,2,FALSE),"")</f>
        <v/>
      </c>
      <c r="F154" s="12" t="str">
        <f>IFERROR(VLOOKUP(B154,#REF!,2,FALSE),"")</f>
        <v/>
      </c>
      <c r="G154" s="2"/>
      <c r="H154" s="2"/>
      <c r="I154" s="2"/>
    </row>
    <row r="155" spans="1:9" ht="16" x14ac:dyDescent="0.2">
      <c r="A155" s="5" t="s">
        <v>156</v>
      </c>
      <c r="B155" s="12" t="s">
        <v>253</v>
      </c>
      <c r="C155" s="12"/>
      <c r="D155" s="12" t="str">
        <f>IFERROR(VLOOKUP(A155,#REF!,2,FALSE),"")</f>
        <v/>
      </c>
      <c r="E155" s="12" t="str">
        <f>IFERROR(VLOOKUP(#REF!,#REF!,2,FALSE),"")</f>
        <v/>
      </c>
      <c r="F155" s="12" t="str">
        <f>IFERROR(VLOOKUP(B155,#REF!,2,FALSE),"")</f>
        <v/>
      </c>
      <c r="G155" s="2"/>
      <c r="H155" s="2"/>
      <c r="I155" s="2"/>
    </row>
    <row r="156" spans="1:9" ht="16" x14ac:dyDescent="0.2">
      <c r="A156" s="36" t="s">
        <v>399</v>
      </c>
      <c r="B156" s="12" t="s">
        <v>10</v>
      </c>
      <c r="C156" s="12"/>
      <c r="D156" s="12" t="str">
        <f>IFERROR(VLOOKUP(A156,#REF!,2,FALSE),"")</f>
        <v/>
      </c>
      <c r="E156" s="12" t="str">
        <f>IFERROR(VLOOKUP(#REF!,#REF!,2,FALSE),"")</f>
        <v/>
      </c>
      <c r="F156" s="12" t="str">
        <f>IFERROR(VLOOKUP(B156,#REF!,2,FALSE),"")</f>
        <v/>
      </c>
      <c r="G156" s="2"/>
      <c r="H156" s="2"/>
      <c r="I156" s="2"/>
    </row>
    <row r="157" spans="1:9" ht="16" x14ac:dyDescent="0.2">
      <c r="A157" s="5" t="s">
        <v>315</v>
      </c>
      <c r="B157" s="12" t="s">
        <v>337</v>
      </c>
      <c r="C157" s="12"/>
      <c r="D157" s="12" t="str">
        <f>IFERROR(VLOOKUP(A157,#REF!,2,FALSE),"")</f>
        <v/>
      </c>
      <c r="E157" s="12" t="str">
        <f>IFERROR(VLOOKUP(#REF!,#REF!,2,FALSE),"")</f>
        <v/>
      </c>
      <c r="F157" s="12" t="str">
        <f>IFERROR(VLOOKUP(B157,#REF!,2,FALSE),"")</f>
        <v/>
      </c>
      <c r="G157" s="2"/>
      <c r="H157" s="2"/>
      <c r="I157" s="2"/>
    </row>
    <row r="158" spans="1:9" ht="16" x14ac:dyDescent="0.2">
      <c r="A158" s="8" t="s">
        <v>342</v>
      </c>
      <c r="B158" s="12" t="s">
        <v>15</v>
      </c>
      <c r="C158" s="12"/>
      <c r="D158" s="12" t="str">
        <f>IFERROR(VLOOKUP(A158,#REF!,2,FALSE),"")</f>
        <v/>
      </c>
      <c r="E158" s="12" t="str">
        <f>IFERROR(VLOOKUP(#REF!,#REF!,2,FALSE),"")</f>
        <v/>
      </c>
      <c r="F158" s="12" t="str">
        <f>IFERROR(VLOOKUP(B158,#REF!,2,FALSE),"")</f>
        <v/>
      </c>
      <c r="G158" s="2"/>
      <c r="H158" s="2"/>
      <c r="I158" s="2"/>
    </row>
    <row r="159" spans="1:9" ht="16" x14ac:dyDescent="0.2">
      <c r="A159" s="12" t="s">
        <v>409</v>
      </c>
      <c r="B159" s="12" t="s">
        <v>341</v>
      </c>
      <c r="C159" s="12"/>
      <c r="D159" s="12" t="str">
        <f>IFERROR(VLOOKUP(A159,#REF!,2,FALSE),"")</f>
        <v/>
      </c>
      <c r="E159" s="12" t="str">
        <f>IFERROR(VLOOKUP(#REF!,#REF!,2,FALSE),"")</f>
        <v/>
      </c>
      <c r="F159" s="12" t="str">
        <f>IFERROR(VLOOKUP(B159,#REF!,2,FALSE),"")</f>
        <v/>
      </c>
      <c r="G159" s="2"/>
      <c r="H159" s="2"/>
      <c r="I159" s="2"/>
    </row>
    <row r="160" spans="1:9" ht="16" x14ac:dyDescent="0.2">
      <c r="A160" s="5" t="s">
        <v>119</v>
      </c>
      <c r="B160" s="12" t="s">
        <v>254</v>
      </c>
      <c r="C160" s="12"/>
      <c r="D160" s="12" t="str">
        <f>IFERROR(VLOOKUP(A160,#REF!,2,FALSE),"")</f>
        <v/>
      </c>
      <c r="E160" s="12" t="str">
        <f>IFERROR(VLOOKUP(#REF!,#REF!,2,FALSE),"")</f>
        <v/>
      </c>
      <c r="F160" s="12" t="str">
        <f>IFERROR(VLOOKUP(B160,#REF!,2,FALSE),"")</f>
        <v/>
      </c>
      <c r="G160" s="2"/>
      <c r="H160" s="2"/>
      <c r="I160" s="2"/>
    </row>
    <row r="161" spans="1:9" ht="16" x14ac:dyDescent="0.2">
      <c r="A161" s="25" t="s">
        <v>425</v>
      </c>
      <c r="B161" s="12" t="s">
        <v>15</v>
      </c>
      <c r="C161" s="12"/>
      <c r="D161" s="12" t="str">
        <f>IFERROR(VLOOKUP(A161,#REF!,2,FALSE),"")</f>
        <v/>
      </c>
      <c r="E161" s="12" t="str">
        <f>IFERROR(VLOOKUP(#REF!,#REF!,2,FALSE),"")</f>
        <v/>
      </c>
      <c r="F161" s="12" t="str">
        <f>IFERROR(VLOOKUP(B161,#REF!,2,FALSE),"")</f>
        <v/>
      </c>
      <c r="G161" s="2"/>
      <c r="H161" s="2"/>
      <c r="I161" s="2"/>
    </row>
    <row r="162" spans="1:9" ht="16" x14ac:dyDescent="0.2">
      <c r="A162" s="25" t="s">
        <v>425</v>
      </c>
      <c r="B162" s="12" t="s">
        <v>15</v>
      </c>
      <c r="C162" s="12"/>
      <c r="D162" s="12" t="str">
        <f>IFERROR(VLOOKUP(A163,#REF!,2,FALSE),"")</f>
        <v/>
      </c>
      <c r="E162" s="12" t="str">
        <f>IFERROR(VLOOKUP(#REF!,#REF!,2,FALSE),"")</f>
        <v/>
      </c>
      <c r="F162" s="12" t="str">
        <f>IFERROR(VLOOKUP(B162,#REF!,2,FALSE),"")</f>
        <v/>
      </c>
      <c r="G162" s="2"/>
      <c r="H162" s="2"/>
      <c r="I162" s="2"/>
    </row>
    <row r="163" spans="1:9" ht="16" x14ac:dyDescent="0.2">
      <c r="A163" s="5" t="s">
        <v>32</v>
      </c>
      <c r="B163" s="12" t="s">
        <v>254</v>
      </c>
      <c r="C163" s="12"/>
      <c r="D163" s="12" t="str">
        <f>IFERROR(VLOOKUP(A163,#REF!,2,FALSE),"")</f>
        <v/>
      </c>
      <c r="E163" s="12" t="str">
        <f>IFERROR(VLOOKUP(#REF!,#REF!,2,FALSE),"")</f>
        <v/>
      </c>
      <c r="F163" s="12" t="str">
        <f>IFERROR(VLOOKUP(B163,#REF!,2,FALSE),"")</f>
        <v/>
      </c>
      <c r="G163" s="2"/>
      <c r="H163" s="2"/>
      <c r="I163" s="2"/>
    </row>
    <row r="164" spans="1:9" ht="16" x14ac:dyDescent="0.2">
      <c r="A164" s="36" t="s">
        <v>129</v>
      </c>
      <c r="B164" s="12" t="s">
        <v>10</v>
      </c>
      <c r="C164" s="12"/>
      <c r="D164" s="12" t="str">
        <f>IFERROR(VLOOKUP(A164,#REF!,2,FALSE),"")</f>
        <v/>
      </c>
      <c r="E164" s="12" t="str">
        <f>IFERROR(VLOOKUP(#REF!,#REF!,2,FALSE),"")</f>
        <v/>
      </c>
      <c r="F164" s="12" t="str">
        <f>IFERROR(VLOOKUP(B164,#REF!,2,FALSE),"")</f>
        <v/>
      </c>
      <c r="G164" s="2"/>
      <c r="H164" s="2"/>
      <c r="I164" s="2"/>
    </row>
    <row r="165" spans="1:9" ht="16" x14ac:dyDescent="0.2">
      <c r="A165" s="5" t="s">
        <v>43</v>
      </c>
      <c r="B165" s="12" t="s">
        <v>254</v>
      </c>
      <c r="C165" s="12"/>
      <c r="D165" s="12" t="str">
        <f>IFERROR(VLOOKUP(A165,#REF!,2,FALSE),"")</f>
        <v/>
      </c>
      <c r="E165" s="12" t="str">
        <f>IFERROR(VLOOKUP(#REF!,#REF!,2,FALSE),"")</f>
        <v/>
      </c>
      <c r="F165" s="12" t="str">
        <f>IFERROR(VLOOKUP(B165,#REF!,2,FALSE),"")</f>
        <v/>
      </c>
      <c r="G165" s="2"/>
      <c r="H165" s="2"/>
      <c r="I165" s="2"/>
    </row>
    <row r="166" spans="1:9" ht="16" x14ac:dyDescent="0.2">
      <c r="A166" s="12" t="s">
        <v>413</v>
      </c>
      <c r="B166" s="12" t="s">
        <v>359</v>
      </c>
      <c r="C166" s="12"/>
      <c r="D166" s="12" t="str">
        <f>IFERROR(VLOOKUP(A166,#REF!,2,FALSE),"")</f>
        <v/>
      </c>
      <c r="E166" s="12" t="str">
        <f>IFERROR(VLOOKUP(#REF!,#REF!,2,FALSE),"")</f>
        <v/>
      </c>
      <c r="F166" s="12" t="str">
        <f>IFERROR(VLOOKUP(B166,#REF!,2,FALSE),"")</f>
        <v/>
      </c>
      <c r="G166" s="2"/>
      <c r="H166" s="2"/>
      <c r="I166" s="2"/>
    </row>
    <row r="167" spans="1:9" ht="16" x14ac:dyDescent="0.2">
      <c r="A167" s="12" t="s">
        <v>418</v>
      </c>
      <c r="B167" s="12" t="s">
        <v>359</v>
      </c>
      <c r="C167" s="12"/>
      <c r="D167" s="12" t="str">
        <f>IFERROR(VLOOKUP(A167,#REF!,2,FALSE),"")</f>
        <v/>
      </c>
      <c r="E167" s="12" t="str">
        <f>IFERROR(VLOOKUP(#REF!,#REF!,2,FALSE),"")</f>
        <v/>
      </c>
      <c r="F167" s="12" t="str">
        <f>IFERROR(VLOOKUP(B167,#REF!,2,FALSE),"")</f>
        <v/>
      </c>
      <c r="G167" s="2"/>
      <c r="H167" s="2"/>
      <c r="I167" s="2"/>
    </row>
    <row r="168" spans="1:9" ht="16" x14ac:dyDescent="0.2">
      <c r="A168" s="5" t="s">
        <v>317</v>
      </c>
      <c r="B168" s="12" t="s">
        <v>337</v>
      </c>
      <c r="C168" s="12"/>
      <c r="D168" s="12" t="str">
        <f>IFERROR(VLOOKUP(A168,#REF!,2,FALSE),"")</f>
        <v/>
      </c>
      <c r="E168" s="12" t="str">
        <f>IFERROR(VLOOKUP(#REF!,#REF!,2,FALSE),"")</f>
        <v/>
      </c>
      <c r="F168" s="12" t="str">
        <f>IFERROR(VLOOKUP(B168,#REF!,2,FALSE),"")</f>
        <v/>
      </c>
      <c r="G168" s="2"/>
      <c r="H168" s="2"/>
      <c r="I168" s="2"/>
    </row>
    <row r="169" spans="1:9" ht="16" x14ac:dyDescent="0.2">
      <c r="A169" s="5" t="s">
        <v>319</v>
      </c>
      <c r="B169" s="12" t="s">
        <v>337</v>
      </c>
      <c r="C169" s="12"/>
      <c r="D169" s="12" t="str">
        <f>IFERROR(VLOOKUP(A169,#REF!,2,FALSE),"")</f>
        <v/>
      </c>
      <c r="E169" s="12" t="str">
        <f>IFERROR(VLOOKUP(#REF!,#REF!,2,FALSE),"")</f>
        <v/>
      </c>
      <c r="F169" s="12" t="str">
        <f>IFERROR(VLOOKUP(B169,#REF!,2,FALSE),"")</f>
        <v/>
      </c>
      <c r="G169" s="2"/>
      <c r="H169" s="2"/>
      <c r="I169" s="2"/>
    </row>
    <row r="170" spans="1:9" ht="16" x14ac:dyDescent="0.2">
      <c r="A170" s="21" t="s">
        <v>321</v>
      </c>
      <c r="B170" s="12" t="s">
        <v>337</v>
      </c>
      <c r="C170" s="12"/>
      <c r="D170" s="12" t="str">
        <f>IFERROR(VLOOKUP(A170,#REF!,2,FALSE),"")</f>
        <v/>
      </c>
      <c r="E170" s="12" t="str">
        <f>IFERROR(VLOOKUP(#REF!,#REF!,2,FALSE),"")</f>
        <v/>
      </c>
      <c r="F170" s="12" t="str">
        <f>IFERROR(VLOOKUP(B170,#REF!,2,FALSE),"")</f>
        <v/>
      </c>
      <c r="G170" s="2"/>
      <c r="H170" s="2"/>
      <c r="I170" s="2"/>
    </row>
    <row r="171" spans="1:9" ht="16" x14ac:dyDescent="0.2">
      <c r="A171" s="5" t="s">
        <v>323</v>
      </c>
      <c r="B171" s="12" t="s">
        <v>337</v>
      </c>
      <c r="C171" s="12"/>
      <c r="D171" s="12" t="str">
        <f>IFERROR(VLOOKUP(A171,#REF!,2,FALSE),"")</f>
        <v/>
      </c>
      <c r="E171" s="12" t="str">
        <f>IFERROR(VLOOKUP(#REF!,#REF!,2,FALSE),"")</f>
        <v/>
      </c>
      <c r="F171" s="12" t="str">
        <f>IFERROR(VLOOKUP(B171,#REF!,2,FALSE),"")</f>
        <v/>
      </c>
      <c r="G171" s="2"/>
      <c r="H171" s="2"/>
      <c r="I171" s="2"/>
    </row>
    <row r="172" spans="1:9" ht="16" x14ac:dyDescent="0.2">
      <c r="A172" s="5" t="s">
        <v>20</v>
      </c>
      <c r="B172" s="12" t="s">
        <v>254</v>
      </c>
      <c r="C172" s="12"/>
      <c r="D172" s="12" t="str">
        <f>IFERROR(VLOOKUP(A172,#REF!,2,FALSE),"")</f>
        <v/>
      </c>
      <c r="E172" s="12" t="str">
        <f>IFERROR(VLOOKUP(#REF!,#REF!,2,FALSE),"")</f>
        <v/>
      </c>
      <c r="F172" s="12" t="str">
        <f>IFERROR(VLOOKUP(B172,#REF!,2,FALSE),"")</f>
        <v/>
      </c>
      <c r="G172" s="2"/>
      <c r="H172" s="2"/>
      <c r="I172" s="2"/>
    </row>
    <row r="173" spans="1:9" ht="16" x14ac:dyDescent="0.2">
      <c r="A173" s="35" t="s">
        <v>384</v>
      </c>
      <c r="B173" s="12" t="s">
        <v>15</v>
      </c>
      <c r="C173" s="12"/>
      <c r="D173" s="12" t="str">
        <f>IFERROR(VLOOKUP(A173,#REF!,2,FALSE),"")</f>
        <v/>
      </c>
      <c r="E173" s="12" t="str">
        <f>IFERROR(VLOOKUP(#REF!,#REF!,2,FALSE),"")</f>
        <v/>
      </c>
      <c r="F173" s="12" t="str">
        <f>IFERROR(VLOOKUP(B173,#REF!,2,FALSE),"")</f>
        <v/>
      </c>
      <c r="G173" s="2"/>
      <c r="H173" s="2"/>
      <c r="I173" s="2"/>
    </row>
    <row r="174" spans="1:9" ht="16" x14ac:dyDescent="0.2">
      <c r="A174" s="5" t="s">
        <v>33</v>
      </c>
      <c r="B174" s="12" t="s">
        <v>254</v>
      </c>
      <c r="C174" s="12"/>
      <c r="D174" s="12" t="str">
        <f>IFERROR(VLOOKUP(A174,#REF!,2,FALSE),"")</f>
        <v/>
      </c>
      <c r="E174" s="12" t="str">
        <f>IFERROR(VLOOKUP(#REF!,#REF!,2,FALSE),"")</f>
        <v/>
      </c>
      <c r="F174" s="12" t="str">
        <f>IFERROR(VLOOKUP(B174,#REF!,2,FALSE),"")</f>
        <v/>
      </c>
      <c r="G174" s="2"/>
      <c r="H174" s="2"/>
      <c r="I174" s="2"/>
    </row>
    <row r="175" spans="1:9" ht="16" x14ac:dyDescent="0.2">
      <c r="A175" s="5" t="s">
        <v>325</v>
      </c>
      <c r="B175" s="12" t="s">
        <v>337</v>
      </c>
      <c r="C175" s="12"/>
      <c r="D175" s="12" t="str">
        <f>IFERROR(VLOOKUP(A175,#REF!,2,FALSE),"")</f>
        <v/>
      </c>
      <c r="E175" s="12" t="str">
        <f>IFERROR(VLOOKUP(#REF!,#REF!,2,FALSE),"")</f>
        <v/>
      </c>
      <c r="F175" s="12" t="str">
        <f>IFERROR(VLOOKUP(B175,#REF!,2,FALSE),"")</f>
        <v/>
      </c>
      <c r="G175" s="2"/>
      <c r="H175" s="2"/>
      <c r="I175" s="2"/>
    </row>
    <row r="176" spans="1:9" ht="16" x14ac:dyDescent="0.2">
      <c r="A176" s="12" t="s">
        <v>370</v>
      </c>
      <c r="B176" s="12" t="s">
        <v>341</v>
      </c>
      <c r="C176" s="12"/>
      <c r="D176" s="12" t="str">
        <f>IFERROR(VLOOKUP(A176,#REF!,2,FALSE),"")</f>
        <v/>
      </c>
      <c r="E176" s="12" t="str">
        <f>IFERROR(VLOOKUP(#REF!,#REF!,2,FALSE),"")</f>
        <v/>
      </c>
      <c r="F176" s="12" t="str">
        <f>IFERROR(VLOOKUP(B176,#REF!,2,FALSE),"")</f>
        <v/>
      </c>
      <c r="G176" s="2"/>
      <c r="H176" s="2"/>
      <c r="I176" s="2"/>
    </row>
    <row r="177" spans="1:9" ht="16" x14ac:dyDescent="0.2">
      <c r="A177" s="25" t="s">
        <v>411</v>
      </c>
      <c r="B177" s="12" t="s">
        <v>15</v>
      </c>
      <c r="C177" s="12"/>
      <c r="D177" s="12" t="str">
        <f>IFERROR(VLOOKUP(A177,#REF!,2,FALSE),"")</f>
        <v/>
      </c>
      <c r="E177" s="12" t="str">
        <f>IFERROR(VLOOKUP(#REF!,#REF!,2,FALSE),"")</f>
        <v/>
      </c>
      <c r="F177" s="12" t="str">
        <f>IFERROR(VLOOKUP(B177,#REF!,2,FALSE),"")</f>
        <v/>
      </c>
      <c r="G177" s="2"/>
      <c r="H177" s="2"/>
      <c r="I177" s="2"/>
    </row>
    <row r="178" spans="1:9" ht="16" x14ac:dyDescent="0.2">
      <c r="A178" s="8" t="s">
        <v>139</v>
      </c>
      <c r="B178" s="12" t="s">
        <v>15</v>
      </c>
      <c r="C178" s="12"/>
      <c r="D178" s="12" t="str">
        <f>IFERROR(VLOOKUP(A178,#REF!,2,FALSE),"")</f>
        <v/>
      </c>
      <c r="E178" s="12" t="str">
        <f>IFERROR(VLOOKUP(#REF!,#REF!,2,FALSE),"")</f>
        <v/>
      </c>
      <c r="F178" s="12" t="str">
        <f>IFERROR(VLOOKUP(B178,#REF!,2,FALSE),"")</f>
        <v/>
      </c>
      <c r="G178" s="2"/>
      <c r="H178" s="2"/>
      <c r="I178" s="2"/>
    </row>
    <row r="179" spans="1:9" ht="16" x14ac:dyDescent="0.2">
      <c r="A179" s="14" t="s">
        <v>371</v>
      </c>
      <c r="B179" s="12" t="s">
        <v>341</v>
      </c>
      <c r="C179" s="12"/>
      <c r="D179" s="12" t="str">
        <f>IFERROR(VLOOKUP(A179,#REF!,2,FALSE),"")</f>
        <v/>
      </c>
      <c r="E179" s="12" t="str">
        <f>IFERROR(VLOOKUP(#REF!,#REF!,2,FALSE),"")</f>
        <v/>
      </c>
      <c r="F179" s="12" t="str">
        <f>IFERROR(VLOOKUP(B179,#REF!,2,FALSE),"")</f>
        <v/>
      </c>
      <c r="G179" s="2"/>
      <c r="H179" s="2"/>
      <c r="I179" s="2"/>
    </row>
    <row r="180" spans="1:9" ht="16" x14ac:dyDescent="0.2">
      <c r="A180" s="5" t="s">
        <v>38</v>
      </c>
      <c r="B180" s="12" t="s">
        <v>254</v>
      </c>
      <c r="C180" s="12"/>
      <c r="D180" s="12" t="str">
        <f>IFERROR(VLOOKUP(A180,#REF!,2,FALSE),"")</f>
        <v/>
      </c>
      <c r="E180" s="12" t="str">
        <f>IFERROR(VLOOKUP(#REF!,#REF!,2,FALSE),"")</f>
        <v/>
      </c>
      <c r="F180" s="12" t="str">
        <f>IFERROR(VLOOKUP(B180,#REF!,2,FALSE),"")</f>
        <v/>
      </c>
      <c r="G180" s="2"/>
      <c r="H180" s="2"/>
      <c r="I180" s="2"/>
    </row>
    <row r="181" spans="1:9" ht="16" x14ac:dyDescent="0.2">
      <c r="A181" s="5" t="s">
        <v>230</v>
      </c>
      <c r="B181" s="12" t="s">
        <v>253</v>
      </c>
      <c r="C181" s="12"/>
      <c r="D181" s="12" t="str">
        <f>IFERROR(VLOOKUP(A181,#REF!,2,FALSE),"")</f>
        <v/>
      </c>
      <c r="E181" s="12" t="str">
        <f>IFERROR(VLOOKUP(#REF!,#REF!,2,FALSE),"")</f>
        <v/>
      </c>
      <c r="F181" s="12" t="str">
        <f>IFERROR(VLOOKUP(B181,#REF!,2,FALSE),"")</f>
        <v/>
      </c>
      <c r="G181" s="2"/>
      <c r="H181" s="2"/>
      <c r="I181" s="2"/>
    </row>
    <row r="182" spans="1:9" ht="16" x14ac:dyDescent="0.2">
      <c r="A182" s="5" t="s">
        <v>327</v>
      </c>
      <c r="B182" s="12" t="s">
        <v>337</v>
      </c>
      <c r="C182" s="12"/>
      <c r="D182" s="12" t="str">
        <f>IFERROR(VLOOKUP(A182,#REF!,2,FALSE),"")</f>
        <v/>
      </c>
      <c r="E182" s="12" t="str">
        <f>IFERROR(VLOOKUP(#REF!,#REF!,2,FALSE),"")</f>
        <v/>
      </c>
      <c r="F182" s="12" t="str">
        <f>IFERROR(VLOOKUP(B182,#REF!,2,FALSE),"")</f>
        <v/>
      </c>
      <c r="G182" s="2"/>
      <c r="H182" s="2"/>
      <c r="I182" s="2"/>
    </row>
    <row r="183" spans="1:9" ht="16" x14ac:dyDescent="0.2">
      <c r="A183" s="6" t="s">
        <v>408</v>
      </c>
      <c r="B183" s="12" t="s">
        <v>10</v>
      </c>
      <c r="C183" s="12"/>
      <c r="D183" s="12" t="str">
        <f>IFERROR(VLOOKUP(A183,#REF!,2,FALSE),"")</f>
        <v/>
      </c>
      <c r="E183" s="12" t="str">
        <f>IFERROR(VLOOKUP(#REF!,#REF!,2,FALSE),"")</f>
        <v/>
      </c>
      <c r="F183" s="12" t="str">
        <f>IFERROR(VLOOKUP(B183,#REF!,2,FALSE),"")</f>
        <v/>
      </c>
      <c r="G183" s="2"/>
      <c r="H183" s="2"/>
      <c r="I183" s="2"/>
    </row>
    <row r="184" spans="1:9" ht="16" x14ac:dyDescent="0.2">
      <c r="A184" s="37" t="s">
        <v>385</v>
      </c>
      <c r="B184" s="12" t="s">
        <v>341</v>
      </c>
      <c r="C184" s="12"/>
      <c r="D184" s="12" t="str">
        <f>IFERROR(VLOOKUP(A184,#REF!,2,FALSE),"")</f>
        <v/>
      </c>
      <c r="E184" s="12" t="str">
        <f>IFERROR(VLOOKUP(#REF!,#REF!,2,FALSE),"")</f>
        <v/>
      </c>
      <c r="F184" s="12" t="str">
        <f>IFERROR(VLOOKUP(B184,#REF!,2,FALSE),"")</f>
        <v/>
      </c>
      <c r="G184" s="2"/>
      <c r="H184" s="2"/>
      <c r="I184" s="2"/>
    </row>
    <row r="185" spans="1:9" ht="16" x14ac:dyDescent="0.2">
      <c r="A185" s="41" t="s">
        <v>166</v>
      </c>
      <c r="B185" s="12" t="s">
        <v>253</v>
      </c>
      <c r="C185" s="12"/>
      <c r="D185" s="12" t="str">
        <f>IFERROR(VLOOKUP(A185,#REF!,2,FALSE),"")</f>
        <v/>
      </c>
      <c r="E185" s="12" t="str">
        <f>IFERROR(VLOOKUP(#REF!,#REF!,2,FALSE),"")</f>
        <v/>
      </c>
      <c r="F185" s="12" t="str">
        <f>IFERROR(VLOOKUP(B185,#REF!,2,FALSE),"")</f>
        <v/>
      </c>
      <c r="G185" s="2"/>
      <c r="H185" s="2"/>
      <c r="I185" s="2"/>
    </row>
    <row r="186" spans="1:9" ht="16" x14ac:dyDescent="0.2">
      <c r="A186" s="39" t="s">
        <v>232</v>
      </c>
      <c r="B186" s="12" t="s">
        <v>253</v>
      </c>
      <c r="C186" s="12"/>
      <c r="D186" s="12" t="str">
        <f>IFERROR(VLOOKUP(A186,#REF!,2,FALSE),"")</f>
        <v/>
      </c>
      <c r="E186" s="12" t="str">
        <f>IFERROR(VLOOKUP(#REF!,#REF!,2,FALSE),"")</f>
        <v/>
      </c>
      <c r="F186" s="12" t="str">
        <f>IFERROR(VLOOKUP(B186,#REF!,2,FALSE),"")</f>
        <v/>
      </c>
      <c r="G186" s="2"/>
      <c r="H186" s="2"/>
      <c r="I186" s="2"/>
    </row>
    <row r="187" spans="1:9" ht="16" x14ac:dyDescent="0.2">
      <c r="A187" s="38" t="s">
        <v>397</v>
      </c>
      <c r="B187" s="12" t="s">
        <v>15</v>
      </c>
      <c r="C187" s="12"/>
      <c r="D187" s="12" t="str">
        <f>IFERROR(VLOOKUP(A187,#REF!,2,FALSE),"")</f>
        <v/>
      </c>
      <c r="E187" s="12" t="str">
        <f>IFERROR(VLOOKUP(#REF!,#REF!,2,FALSE),"")</f>
        <v/>
      </c>
      <c r="F187" s="12" t="str">
        <f>IFERROR(VLOOKUP(B187,#REF!,2,FALSE),"")</f>
        <v/>
      </c>
      <c r="G187" s="2"/>
      <c r="H187" s="2"/>
      <c r="I187" s="2"/>
    </row>
    <row r="188" spans="1:9" ht="16" x14ac:dyDescent="0.2">
      <c r="A188" s="37" t="s">
        <v>420</v>
      </c>
      <c r="B188" s="12" t="s">
        <v>359</v>
      </c>
      <c r="C188" s="12"/>
      <c r="D188" s="12" t="str">
        <f>IFERROR(VLOOKUP(A188,#REF!,2,FALSE),"")</f>
        <v/>
      </c>
      <c r="E188" s="12" t="str">
        <f>IFERROR(VLOOKUP(#REF!,#REF!,2,FALSE),"")</f>
        <v/>
      </c>
      <c r="F188" s="12" t="str">
        <f>IFERROR(VLOOKUP(B188,#REF!,2,FALSE),"")</f>
        <v/>
      </c>
      <c r="G188" s="2"/>
      <c r="H188" s="2"/>
      <c r="I188" s="2"/>
    </row>
    <row r="189" spans="1:9" ht="16" x14ac:dyDescent="0.2">
      <c r="A189" s="40" t="s">
        <v>234</v>
      </c>
      <c r="B189" s="12" t="s">
        <v>253</v>
      </c>
      <c r="C189" s="12"/>
      <c r="D189" s="12" t="str">
        <f>IFERROR(VLOOKUP(A189,#REF!,2,FALSE),"")</f>
        <v/>
      </c>
      <c r="E189" s="12" t="str">
        <f>IFERROR(VLOOKUP(#REF!,#REF!,2,FALSE),"")</f>
        <v/>
      </c>
      <c r="F189" s="12" t="str">
        <f>IFERROR(VLOOKUP(B189,#REF!,2,FALSE),"")</f>
        <v/>
      </c>
      <c r="G189" s="2"/>
      <c r="H189" s="2"/>
      <c r="I189" s="2"/>
    </row>
    <row r="190" spans="1:9" ht="16" x14ac:dyDescent="0.2">
      <c r="A190" s="38" t="s">
        <v>137</v>
      </c>
      <c r="B190" s="12" t="s">
        <v>15</v>
      </c>
      <c r="C190" s="12"/>
      <c r="D190" s="12" t="str">
        <f>IFERROR(VLOOKUP(A190,#REF!,2,FALSE),"")</f>
        <v/>
      </c>
      <c r="E190" s="12" t="str">
        <f>IFERROR(VLOOKUP(#REF!,#REF!,2,FALSE),"")</f>
        <v/>
      </c>
      <c r="F190" s="12" t="str">
        <f>IFERROR(VLOOKUP(B190,#REF!,2,FALSE),"")</f>
        <v/>
      </c>
      <c r="G190" s="2"/>
      <c r="H190" s="2"/>
      <c r="I190" s="2"/>
    </row>
    <row r="191" spans="1:9" ht="16" x14ac:dyDescent="0.2">
      <c r="A191" s="40" t="s">
        <v>329</v>
      </c>
      <c r="B191" s="12" t="s">
        <v>337</v>
      </c>
      <c r="C191" s="12"/>
      <c r="D191" s="12" t="str">
        <f>IFERROR(VLOOKUP(A191,#REF!,2,FALSE),"")</f>
        <v/>
      </c>
      <c r="E191" s="12" t="str">
        <f>IFERROR(VLOOKUP(#REF!,#REF!,2,FALSE),"")</f>
        <v/>
      </c>
      <c r="F191" s="12" t="str">
        <f>IFERROR(VLOOKUP(B191,#REF!,2,FALSE),"")</f>
        <v/>
      </c>
      <c r="G191" s="2"/>
      <c r="H191" s="2"/>
      <c r="I191" s="2"/>
    </row>
    <row r="192" spans="1:9" ht="16" x14ac:dyDescent="0.2">
      <c r="A192" s="42" t="s">
        <v>238</v>
      </c>
      <c r="B192" s="12" t="s">
        <v>253</v>
      </c>
      <c r="C192" s="12"/>
      <c r="D192" s="12" t="str">
        <f>IFERROR(VLOOKUP(A192,#REF!,2,FALSE),"")</f>
        <v/>
      </c>
      <c r="E192" s="12" t="str">
        <f>IFERROR(VLOOKUP(#REF!,#REF!,2,FALSE),"")</f>
        <v/>
      </c>
      <c r="F192" s="12" t="str">
        <f>IFERROR(VLOOKUP(B192,#REF!,2,FALSE),"")</f>
        <v/>
      </c>
      <c r="G192" s="2"/>
      <c r="H192" s="2"/>
      <c r="I192" s="2"/>
    </row>
    <row r="193" spans="1:9" ht="16" x14ac:dyDescent="0.2">
      <c r="A193" s="32" t="s">
        <v>331</v>
      </c>
      <c r="B193" s="12" t="s">
        <v>337</v>
      </c>
      <c r="C193" s="12"/>
      <c r="D193" s="12" t="str">
        <f>IFERROR(VLOOKUP(A193,#REF!,2,FALSE),"")</f>
        <v/>
      </c>
      <c r="E193" s="12" t="str">
        <f>IFERROR(VLOOKUP(#REF!,#REF!,2,FALSE),"")</f>
        <v/>
      </c>
      <c r="F193" s="12" t="str">
        <f>IFERROR(VLOOKUP(B193,#REF!,2,FALSE),"")</f>
        <v/>
      </c>
      <c r="G193" s="2"/>
      <c r="H193" s="2"/>
      <c r="I193" s="2"/>
    </row>
    <row r="194" spans="1:9" ht="16" x14ac:dyDescent="0.2">
      <c r="A194" s="32" t="s">
        <v>23</v>
      </c>
      <c r="B194" s="12" t="s">
        <v>254</v>
      </c>
      <c r="C194" s="12"/>
      <c r="D194" s="12" t="str">
        <f>IFERROR(VLOOKUP(A194,#REF!,2,FALSE),"")</f>
        <v/>
      </c>
      <c r="E194" s="12" t="str">
        <f>IFERROR(VLOOKUP(#REF!,#REF!,2,FALSE),"")</f>
        <v/>
      </c>
      <c r="F194" s="12" t="str">
        <f>IFERROR(VLOOKUP(B194,#REF!,2,FALSE),"")</f>
        <v/>
      </c>
      <c r="G194" s="2"/>
      <c r="H194" s="2"/>
      <c r="I194" s="2"/>
    </row>
    <row r="195" spans="1:9" ht="16" x14ac:dyDescent="0.2">
      <c r="A195" s="12"/>
      <c r="B195" s="12"/>
      <c r="C195" s="12"/>
      <c r="D195" s="12" t="str">
        <f>IFERROR(VLOOKUP(A195,#REF!,2,FALSE),"")</f>
        <v/>
      </c>
      <c r="E195" s="12" t="str">
        <f>IFERROR(VLOOKUP(#REF!,#REF!,2,FALSE),"")</f>
        <v/>
      </c>
      <c r="F195" s="12" t="str">
        <f>IFERROR(VLOOKUP(B195,#REF!,2,FALSE),"")</f>
        <v/>
      </c>
      <c r="G195" s="2"/>
      <c r="H195" s="2"/>
      <c r="I195" s="2"/>
    </row>
    <row r="196" spans="1:9" ht="16" x14ac:dyDescent="0.2">
      <c r="A196" s="12"/>
      <c r="B196" s="12"/>
      <c r="C196" s="12"/>
      <c r="D196" s="12" t="str">
        <f>IFERROR(VLOOKUP(A196,#REF!,2,FALSE),"")</f>
        <v/>
      </c>
      <c r="E196" s="12" t="str">
        <f>IFERROR(VLOOKUP(#REF!,#REF!,2,FALSE),"")</f>
        <v/>
      </c>
      <c r="F196" s="12" t="str">
        <f>IFERROR(VLOOKUP(B196,#REF!,2,FALSE),"")</f>
        <v/>
      </c>
      <c r="G196" s="2"/>
      <c r="H196" s="2"/>
      <c r="I196" s="2"/>
    </row>
    <row r="197" spans="1:9" ht="16" x14ac:dyDescent="0.2">
      <c r="A197" s="12"/>
      <c r="B197" s="12"/>
      <c r="C197" s="12"/>
      <c r="D197" s="12" t="str">
        <f>IFERROR(VLOOKUP(A197,#REF!,2,FALSE),"")</f>
        <v/>
      </c>
      <c r="E197" s="12" t="str">
        <f>IFERROR(VLOOKUP(#REF!,#REF!,2,FALSE),"")</f>
        <v/>
      </c>
      <c r="F197" s="12" t="str">
        <f>IFERROR(VLOOKUP(B197,#REF!,2,FALSE),"")</f>
        <v/>
      </c>
      <c r="G197" s="2"/>
      <c r="H197" s="2"/>
      <c r="I197" s="2"/>
    </row>
    <row r="198" spans="1:9" ht="16" x14ac:dyDescent="0.2">
      <c r="A198" s="12"/>
      <c r="B198" s="12"/>
      <c r="C198" s="12"/>
      <c r="D198" s="12" t="str">
        <f>IFERROR(VLOOKUP(A198,#REF!,2,FALSE),"")</f>
        <v/>
      </c>
      <c r="E198" s="12" t="str">
        <f>IFERROR(VLOOKUP(#REF!,#REF!,2,FALSE),"")</f>
        <v/>
      </c>
      <c r="F198" s="12" t="str">
        <f>IFERROR(VLOOKUP(B198,#REF!,2,FALSE),"")</f>
        <v/>
      </c>
      <c r="G198" s="2"/>
      <c r="H198" s="2"/>
      <c r="I198" s="2"/>
    </row>
    <row r="199" spans="1:9" ht="16" x14ac:dyDescent="0.2">
      <c r="A199" s="12"/>
      <c r="B199" s="12"/>
      <c r="C199" s="12"/>
      <c r="D199" s="12" t="str">
        <f>IFERROR(VLOOKUP(A199,#REF!,2,FALSE),"")</f>
        <v/>
      </c>
      <c r="E199" s="12" t="str">
        <f>IFERROR(VLOOKUP(#REF!,#REF!,2,FALSE),"")</f>
        <v/>
      </c>
      <c r="F199" s="12" t="str">
        <f>IFERROR(VLOOKUP(B199,#REF!,2,FALSE),"")</f>
        <v/>
      </c>
      <c r="G199" s="2"/>
      <c r="H199" s="2"/>
      <c r="I199" s="2"/>
    </row>
    <row r="200" spans="1:9" ht="16" x14ac:dyDescent="0.2">
      <c r="A200" s="12"/>
      <c r="B200" s="12"/>
      <c r="C200" s="12"/>
      <c r="D200" s="12" t="str">
        <f>IFERROR(VLOOKUP(A200,#REF!,2,FALSE),"")</f>
        <v/>
      </c>
      <c r="E200" s="12" t="str">
        <f>IFERROR(VLOOKUP(#REF!,#REF!,2,FALSE),"")</f>
        <v/>
      </c>
      <c r="F200" s="12" t="str">
        <f>IFERROR(VLOOKUP(B200,#REF!,2,FALSE),"")</f>
        <v/>
      </c>
      <c r="G200" s="2"/>
      <c r="H200" s="2"/>
      <c r="I200" s="2"/>
    </row>
    <row r="201" spans="1:9" ht="16" x14ac:dyDescent="0.2">
      <c r="A201" s="12"/>
      <c r="B201" s="12"/>
      <c r="C201" s="12"/>
      <c r="D201" s="12" t="str">
        <f>IFERROR(VLOOKUP(A201,#REF!,2,FALSE),"")</f>
        <v/>
      </c>
      <c r="E201" s="12" t="str">
        <f>IFERROR(VLOOKUP(#REF!,#REF!,2,FALSE),"")</f>
        <v/>
      </c>
      <c r="F201" s="12" t="str">
        <f>IFERROR(VLOOKUP(B201,#REF!,2,FALSE),"")</f>
        <v/>
      </c>
      <c r="G201" s="2"/>
      <c r="H201" s="2"/>
      <c r="I201" s="2"/>
    </row>
    <row r="202" spans="1:9" ht="16" x14ac:dyDescent="0.2">
      <c r="A202" s="12"/>
      <c r="B202" s="12"/>
      <c r="C202" s="12"/>
      <c r="D202" s="12" t="str">
        <f>IFERROR(VLOOKUP(A202,#REF!,2,FALSE),"")</f>
        <v/>
      </c>
      <c r="E202" s="12" t="str">
        <f>IFERROR(VLOOKUP(#REF!,#REF!,2,FALSE),"")</f>
        <v/>
      </c>
      <c r="F202" s="12" t="str">
        <f>IFERROR(VLOOKUP(B202,#REF!,2,FALSE),"")</f>
        <v/>
      </c>
      <c r="G202" s="2"/>
      <c r="H202" s="2"/>
      <c r="I202" s="2"/>
    </row>
    <row r="203" spans="1:9" ht="16" x14ac:dyDescent="0.2">
      <c r="A203" s="12"/>
      <c r="B203" s="12"/>
      <c r="C203" s="12"/>
      <c r="D203" s="12" t="str">
        <f>IFERROR(VLOOKUP(A203,#REF!,2,FALSE),"")</f>
        <v/>
      </c>
      <c r="E203" s="12" t="str">
        <f>IFERROR(VLOOKUP(#REF!,#REF!,2,FALSE),"")</f>
        <v/>
      </c>
      <c r="F203" s="12" t="str">
        <f>IFERROR(VLOOKUP(B203,#REF!,2,FALSE),"")</f>
        <v/>
      </c>
      <c r="G203" s="2"/>
      <c r="H203" s="2"/>
      <c r="I203" s="2"/>
    </row>
    <row r="204" spans="1:9" ht="16" x14ac:dyDescent="0.2">
      <c r="A204" s="12"/>
      <c r="B204" s="12"/>
      <c r="C204" s="12"/>
      <c r="D204" s="12" t="str">
        <f>IFERROR(VLOOKUP(A204,#REF!,2,FALSE),"")</f>
        <v/>
      </c>
      <c r="E204" s="12" t="str">
        <f>IFERROR(VLOOKUP(#REF!,#REF!,2,FALSE),"")</f>
        <v/>
      </c>
      <c r="F204" s="12" t="str">
        <f>IFERROR(VLOOKUP(B204,#REF!,2,FALSE),"")</f>
        <v/>
      </c>
      <c r="G204" s="2"/>
      <c r="H204" s="2"/>
      <c r="I204" s="2"/>
    </row>
    <row r="205" spans="1:9" ht="16" x14ac:dyDescent="0.2">
      <c r="A205" s="12"/>
      <c r="B205" s="12"/>
      <c r="C205" s="12"/>
      <c r="D205" s="12" t="str">
        <f>IFERROR(VLOOKUP(A205,#REF!,2,FALSE),"")</f>
        <v/>
      </c>
      <c r="E205" s="12" t="str">
        <f>IFERROR(VLOOKUP(#REF!,#REF!,2,FALSE),"")</f>
        <v/>
      </c>
      <c r="F205" s="12" t="str">
        <f>IFERROR(VLOOKUP(B205,#REF!,2,FALSE),"")</f>
        <v/>
      </c>
      <c r="G205" s="2"/>
      <c r="H205" s="2"/>
      <c r="I205" s="2"/>
    </row>
  </sheetData>
  <mergeCells count="1">
    <mergeCell ref="H2:I3"/>
  </mergeCells>
  <dataValidations count="1">
    <dataValidation type="list" allowBlank="1" sqref="A195:A205 A121:A127 A134:A135 A139:A140 A146:A155 A164 A174:A182" xr:uid="{19B3F308-5FC6-B94C-99A7-13626F163BC7}">
      <formula1>PersonNames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187D53-F0D0-F84A-967A-22F57AA32DF3}">
          <x14:formula1>
            <xm:f>_validation!$I$2:$I$31</xm:f>
          </x14:formula1>
          <xm:sqref>B195:B1048576 B2:B194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5"/>
  <sheetViews>
    <sheetView showGridLines="0" tabSelected="1" zoomScale="140" zoomScaleNormal="140" workbookViewId="0"/>
  </sheetViews>
  <sheetFormatPr baseColWidth="10" defaultColWidth="8.83203125" defaultRowHeight="15" x14ac:dyDescent="0.2"/>
  <cols>
    <col min="1" max="1" width="30" bestFit="1" customWidth="1"/>
    <col min="2" max="2" width="31.33203125" bestFit="1" customWidth="1"/>
    <col min="3" max="3" width="27.1640625" customWidth="1"/>
    <col min="4" max="4" width="42" customWidth="1"/>
    <col min="5" max="7" width="10" hidden="1" customWidth="1"/>
    <col min="9" max="10" width="16" customWidth="1"/>
  </cols>
  <sheetData>
    <row r="1" spans="1:10" ht="22" customHeight="1" x14ac:dyDescent="0.2">
      <c r="A1" s="1" t="s">
        <v>16</v>
      </c>
      <c r="B1" s="1" t="s">
        <v>18</v>
      </c>
      <c r="C1" s="1" t="s">
        <v>17</v>
      </c>
      <c r="D1" s="1" t="s">
        <v>3</v>
      </c>
      <c r="E1" s="1" t="s">
        <v>0</v>
      </c>
      <c r="F1" s="1" t="s">
        <v>4</v>
      </c>
      <c r="G1" s="1" t="s">
        <v>8</v>
      </c>
      <c r="H1" s="2"/>
      <c r="I1" s="2"/>
      <c r="J1" s="2"/>
    </row>
    <row r="2" spans="1:10" ht="16" x14ac:dyDescent="0.2">
      <c r="A2" s="11" t="s">
        <v>168</v>
      </c>
      <c r="B2" s="12" t="s">
        <v>59</v>
      </c>
      <c r="C2" s="12" t="s">
        <v>13</v>
      </c>
      <c r="D2" s="12"/>
      <c r="E2" s="12" t="str">
        <f>IFERROR(VLOOKUP(A2,#REF!,2,FALSE),"")</f>
        <v/>
      </c>
      <c r="F2" s="12" t="str">
        <f>IFERROR(VLOOKUP(B2,#REF!,2,FALSE),"")</f>
        <v/>
      </c>
      <c r="G2" s="12" t="str">
        <f>IFERROR(VLOOKUP(C2,#REF!,2,FALSE),"")</f>
        <v/>
      </c>
      <c r="H2" s="2"/>
      <c r="I2" s="3"/>
      <c r="J2" s="3"/>
    </row>
    <row r="3" spans="1:10" ht="16" x14ac:dyDescent="0.2">
      <c r="A3" s="5" t="s">
        <v>30</v>
      </c>
      <c r="B3" s="12" t="s">
        <v>54</v>
      </c>
      <c r="C3" s="12" t="s">
        <v>12</v>
      </c>
      <c r="D3" s="12"/>
      <c r="E3" s="12" t="str">
        <f>IFERROR(VLOOKUP(A3,#REF!,2,FALSE),"")</f>
        <v/>
      </c>
      <c r="F3" s="12" t="str">
        <f>IFERROR(VLOOKUP(B3,#REF!,2,FALSE),"")</f>
        <v/>
      </c>
      <c r="G3" s="12" t="str">
        <f>IFERROR(VLOOKUP(C3,#REF!,2,FALSE),"")</f>
        <v/>
      </c>
      <c r="H3" s="2"/>
      <c r="I3" s="3"/>
      <c r="J3" s="3"/>
    </row>
    <row r="4" spans="1:10" ht="16" x14ac:dyDescent="0.2">
      <c r="A4" s="5" t="s">
        <v>29</v>
      </c>
      <c r="B4" s="12" t="s">
        <v>53</v>
      </c>
      <c r="C4" s="12" t="s">
        <v>12</v>
      </c>
      <c r="D4" s="12"/>
      <c r="E4" s="12" t="str">
        <f>IFERROR(VLOOKUP(A4,#REF!,2,FALSE),"")</f>
        <v/>
      </c>
      <c r="F4" s="12" t="str">
        <f>IFERROR(VLOOKUP(B4,#REF!,2,FALSE),"")</f>
        <v/>
      </c>
      <c r="G4" s="12" t="str">
        <f>IFERROR(VLOOKUP(C4,#REF!,2,FALSE),"")</f>
        <v/>
      </c>
      <c r="H4" s="2"/>
      <c r="I4" s="2"/>
      <c r="J4" s="2"/>
    </row>
    <row r="5" spans="1:10" ht="16" x14ac:dyDescent="0.2">
      <c r="A5" s="5" t="s">
        <v>170</v>
      </c>
      <c r="B5" s="12" t="s">
        <v>63</v>
      </c>
      <c r="C5" s="12" t="s">
        <v>13</v>
      </c>
      <c r="D5" s="12"/>
      <c r="E5" s="12" t="str">
        <f>IFERROR(VLOOKUP(A5,#REF!,2,FALSE),"")</f>
        <v/>
      </c>
      <c r="F5" s="12" t="str">
        <f>IFERROR(VLOOKUP(B5,#REF!,2,FALSE),"")</f>
        <v/>
      </c>
      <c r="G5" s="12" t="str">
        <f>IFERROR(VLOOKUP(C5,#REF!,2,FALSE),"")</f>
        <v/>
      </c>
      <c r="H5" s="2"/>
      <c r="I5" s="2"/>
      <c r="J5" s="2"/>
    </row>
    <row r="6" spans="1:10" ht="16" x14ac:dyDescent="0.2">
      <c r="A6" s="10" t="s">
        <v>395</v>
      </c>
      <c r="B6" s="12" t="s">
        <v>49</v>
      </c>
      <c r="C6" s="12" t="s">
        <v>13</v>
      </c>
      <c r="D6" s="12"/>
      <c r="E6" s="12" t="str">
        <f>IFERROR(VLOOKUP(A6,#REF!,2,FALSE),"")</f>
        <v/>
      </c>
      <c r="F6" s="12" t="str">
        <f>IFERROR(VLOOKUP(B6,#REF!,2,FALSE),"")</f>
        <v/>
      </c>
      <c r="G6" s="12" t="str">
        <f>IFERROR(VLOOKUP(C6,#REF!,2,FALSE),"")</f>
        <v/>
      </c>
      <c r="H6" s="2"/>
      <c r="I6" s="2"/>
      <c r="J6" s="2"/>
    </row>
    <row r="7" spans="1:10" ht="16" x14ac:dyDescent="0.2">
      <c r="A7" s="12" t="s">
        <v>345</v>
      </c>
      <c r="B7" s="12" t="s">
        <v>66</v>
      </c>
      <c r="C7" s="12" t="s">
        <v>14</v>
      </c>
      <c r="D7" s="12"/>
      <c r="E7" s="12" t="str">
        <f>IFERROR(VLOOKUP(A7,#REF!,2,FALSE),"")</f>
        <v/>
      </c>
      <c r="F7" s="12" t="str">
        <f>IFERROR(VLOOKUP(B7,#REF!,2,FALSE),"")</f>
        <v/>
      </c>
      <c r="G7" s="12" t="str">
        <f>IFERROR(VLOOKUP(C7,#REF!,2,FALSE),"")</f>
        <v/>
      </c>
      <c r="H7" s="2"/>
      <c r="I7" s="2"/>
      <c r="J7" s="2"/>
    </row>
    <row r="8" spans="1:10" ht="16" x14ac:dyDescent="0.2">
      <c r="A8" s="5" t="s">
        <v>172</v>
      </c>
      <c r="B8" s="12" t="s">
        <v>125</v>
      </c>
      <c r="C8" s="12" t="s">
        <v>13</v>
      </c>
      <c r="D8" s="12"/>
      <c r="E8" s="12" t="str">
        <f>IFERROR(VLOOKUP(A8,#REF!,2,FALSE),"")</f>
        <v/>
      </c>
      <c r="F8" s="12" t="str">
        <f>IFERROR(VLOOKUP(B8,#REF!,2,FALSE),"")</f>
        <v/>
      </c>
      <c r="G8" s="12" t="str">
        <f>IFERROR(VLOOKUP(C8,#REF!,2,FALSE),"")</f>
        <v/>
      </c>
      <c r="H8" s="2"/>
      <c r="I8" s="2"/>
      <c r="J8" s="2"/>
    </row>
    <row r="9" spans="1:10" ht="16" x14ac:dyDescent="0.2">
      <c r="A9" s="5" t="s">
        <v>174</v>
      </c>
      <c r="B9" s="12" t="s">
        <v>48</v>
      </c>
      <c r="C9" s="12" t="s">
        <v>13</v>
      </c>
      <c r="D9" s="12"/>
      <c r="E9" s="12" t="str">
        <f>IFERROR(VLOOKUP(A9,#REF!,2,FALSE),"")</f>
        <v/>
      </c>
      <c r="F9" s="12" t="str">
        <f>IFERROR(VLOOKUP(B9,#REF!,2,FALSE),"")</f>
        <v/>
      </c>
      <c r="G9" s="12" t="str">
        <f>IFERROR(VLOOKUP(C9,#REF!,2,FALSE),"")</f>
        <v/>
      </c>
      <c r="H9" s="2"/>
      <c r="I9" s="2"/>
      <c r="J9" s="2"/>
    </row>
    <row r="10" spans="1:10" ht="16" x14ac:dyDescent="0.2">
      <c r="A10" s="5" t="s">
        <v>28</v>
      </c>
      <c r="B10" s="12" t="s">
        <v>52</v>
      </c>
      <c r="C10" s="12" t="s">
        <v>12</v>
      </c>
      <c r="D10" s="12"/>
      <c r="E10" s="12" t="str">
        <f>IFERROR(VLOOKUP(A10,#REF!,2,FALSE),"")</f>
        <v/>
      </c>
      <c r="F10" s="12" t="str">
        <f>IFERROR(VLOOKUP(B10,#REF!,2,FALSE),"")</f>
        <v/>
      </c>
      <c r="G10" s="12" t="str">
        <f>IFERROR(VLOOKUP(C10,#REF!,2,FALSE),"")</f>
        <v/>
      </c>
      <c r="H10" s="2"/>
      <c r="I10" s="2"/>
      <c r="J10" s="2"/>
    </row>
    <row r="11" spans="1:10" ht="16" x14ac:dyDescent="0.2">
      <c r="A11" s="5" t="s">
        <v>176</v>
      </c>
      <c r="B11" s="12" t="s">
        <v>50</v>
      </c>
      <c r="C11" s="12" t="s">
        <v>14</v>
      </c>
      <c r="D11" s="12"/>
      <c r="E11" s="12"/>
      <c r="F11" s="12"/>
      <c r="G11" s="12"/>
      <c r="H11" s="2"/>
      <c r="I11" s="2"/>
      <c r="J11" s="2"/>
    </row>
    <row r="12" spans="1:10" ht="16" x14ac:dyDescent="0.2">
      <c r="A12" s="5" t="s">
        <v>176</v>
      </c>
      <c r="B12" s="12" t="s">
        <v>48</v>
      </c>
      <c r="C12" s="12" t="s">
        <v>13</v>
      </c>
      <c r="D12" s="12"/>
      <c r="E12" s="12" t="str">
        <f>IFERROR(VLOOKUP(A12,#REF!,2,FALSE),"")</f>
        <v/>
      </c>
      <c r="F12" s="12" t="str">
        <f>IFERROR(VLOOKUP(B12,#REF!,2,FALSE),"")</f>
        <v/>
      </c>
      <c r="G12" s="12" t="str">
        <f>IFERROR(VLOOKUP(C12,#REF!,2,FALSE),"")</f>
        <v/>
      </c>
      <c r="H12" s="2"/>
      <c r="I12" s="2"/>
      <c r="J12" s="2"/>
    </row>
    <row r="13" spans="1:10" ht="16" x14ac:dyDescent="0.2">
      <c r="A13" t="s">
        <v>401</v>
      </c>
      <c r="B13" s="12" t="s">
        <v>398</v>
      </c>
      <c r="C13" s="12" t="s">
        <v>13</v>
      </c>
      <c r="D13" s="12"/>
      <c r="E13" s="12" t="str">
        <f>IFERROR(VLOOKUP(A13,#REF!,2,FALSE),"")</f>
        <v/>
      </c>
      <c r="F13" s="12" t="str">
        <f>IFERROR(VLOOKUP(B13,#REF!,2,FALSE),"")</f>
        <v/>
      </c>
      <c r="G13" s="12" t="str">
        <f>IFERROR(VLOOKUP(C13,#REF!,2,FALSE),"")</f>
        <v/>
      </c>
      <c r="H13" s="2"/>
      <c r="I13" s="2"/>
      <c r="J13" s="2"/>
    </row>
    <row r="14" spans="1:10" ht="16" x14ac:dyDescent="0.2">
      <c r="A14" s="12" t="s">
        <v>356</v>
      </c>
      <c r="B14" s="12" t="s">
        <v>63</v>
      </c>
      <c r="C14" s="12" t="s">
        <v>13</v>
      </c>
      <c r="D14" s="12"/>
      <c r="E14" s="12" t="str">
        <f>IFERROR(VLOOKUP(A14,#REF!,2,FALSE),"")</f>
        <v/>
      </c>
      <c r="F14" s="12" t="str">
        <f>IFERROR(VLOOKUP(B14,#REF!,2,FALSE),"")</f>
        <v/>
      </c>
      <c r="G14" s="12" t="str">
        <f>IFERROR(VLOOKUP(C14,#REF!,2,FALSE),"")</f>
        <v/>
      </c>
      <c r="H14" s="2"/>
      <c r="I14" s="2"/>
      <c r="J14" s="2"/>
    </row>
    <row r="15" spans="1:10" ht="16" x14ac:dyDescent="0.2">
      <c r="A15" s="5" t="s">
        <v>123</v>
      </c>
      <c r="B15" s="13" t="s">
        <v>63</v>
      </c>
      <c r="C15" s="12" t="s">
        <v>12</v>
      </c>
      <c r="D15" s="12"/>
      <c r="E15" s="12" t="str">
        <f>IFERROR(VLOOKUP(A15,#REF!,2,FALSE),"")</f>
        <v/>
      </c>
      <c r="F15" s="12" t="str">
        <f>IFERROR(VLOOKUP(B15,#REF!,2,FALSE),"")</f>
        <v/>
      </c>
      <c r="G15" s="12" t="str">
        <f>IFERROR(VLOOKUP(C15,#REF!,2,FALSE),"")</f>
        <v/>
      </c>
      <c r="H15" s="2"/>
      <c r="I15" s="2"/>
      <c r="J15" s="2"/>
    </row>
    <row r="16" spans="1:10" ht="16" x14ac:dyDescent="0.2">
      <c r="A16" s="11" t="s">
        <v>178</v>
      </c>
      <c r="B16" s="12" t="s">
        <v>54</v>
      </c>
      <c r="C16" s="12" t="s">
        <v>13</v>
      </c>
      <c r="D16" s="12"/>
      <c r="E16" s="12" t="str">
        <f>IFERROR(VLOOKUP(A16,#REF!,2,FALSE),"")</f>
        <v/>
      </c>
      <c r="F16" s="12" t="str">
        <f>IFERROR(VLOOKUP(B16,#REF!,2,FALSE),"")</f>
        <v/>
      </c>
      <c r="G16" s="12" t="str">
        <f>IFERROR(VLOOKUP(C16,#REF!,2,FALSE),"")</f>
        <v/>
      </c>
      <c r="H16" s="2"/>
      <c r="I16" s="2"/>
      <c r="J16" s="2"/>
    </row>
    <row r="17" spans="1:10" ht="16" x14ac:dyDescent="0.2">
      <c r="A17" s="12" t="s">
        <v>380</v>
      </c>
      <c r="B17" s="13" t="s">
        <v>53</v>
      </c>
      <c r="C17" s="12" t="s">
        <v>13</v>
      </c>
      <c r="D17" s="12"/>
      <c r="E17" s="12" t="str">
        <f>IFERROR(VLOOKUP(A17,#REF!,2,FALSE),"")</f>
        <v/>
      </c>
      <c r="F17" s="12" t="str">
        <f>IFERROR(VLOOKUP(B17,#REF!,2,FALSE),"")</f>
        <v/>
      </c>
      <c r="G17" s="12" t="str">
        <f>IFERROR(VLOOKUP(C17,#REF!,2,FALSE),"")</f>
        <v/>
      </c>
      <c r="H17" s="2"/>
      <c r="I17" s="2"/>
      <c r="J17" s="2"/>
    </row>
    <row r="18" spans="1:10" ht="16" x14ac:dyDescent="0.2">
      <c r="A18" s="12" t="s">
        <v>347</v>
      </c>
      <c r="B18" s="14" t="s">
        <v>68</v>
      </c>
      <c r="C18" s="12" t="s">
        <v>14</v>
      </c>
      <c r="D18" s="12"/>
      <c r="E18" s="12" t="str">
        <f>IFERROR(VLOOKUP(A18,#REF!,2,FALSE),"")</f>
        <v/>
      </c>
      <c r="F18" s="12" t="str">
        <f>IFERROR(VLOOKUP(B18,#REF!,2,FALSE),"")</f>
        <v/>
      </c>
      <c r="G18" s="12" t="str">
        <f>IFERROR(VLOOKUP(C18,#REF!,2,FALSE),"")</f>
        <v/>
      </c>
      <c r="H18" s="2"/>
      <c r="I18" s="2"/>
      <c r="J18" s="2"/>
    </row>
    <row r="19" spans="1:10" ht="16" x14ac:dyDescent="0.2">
      <c r="A19" s="5" t="s">
        <v>180</v>
      </c>
      <c r="B19" s="14" t="s">
        <v>47</v>
      </c>
      <c r="C19" s="12" t="s">
        <v>13</v>
      </c>
      <c r="D19" s="12"/>
      <c r="E19" s="12" t="str">
        <f>IFERROR(VLOOKUP(A19,#REF!,2,FALSE),"")</f>
        <v/>
      </c>
      <c r="F19" s="12" t="str">
        <f>IFERROR(VLOOKUP(B19,#REF!,2,FALSE),"")</f>
        <v/>
      </c>
      <c r="G19" s="12" t="str">
        <f>IFERROR(VLOOKUP(C19,#REF!,2,FALSE),"")</f>
        <v/>
      </c>
      <c r="H19" s="2"/>
      <c r="I19" s="2"/>
      <c r="J19" s="2"/>
    </row>
    <row r="20" spans="1:10" ht="16" x14ac:dyDescent="0.2">
      <c r="A20" s="5" t="s">
        <v>182</v>
      </c>
      <c r="B20" s="13" t="s">
        <v>53</v>
      </c>
      <c r="C20" s="12" t="s">
        <v>13</v>
      </c>
      <c r="D20" s="12"/>
      <c r="E20" s="12" t="str">
        <f>IFERROR(VLOOKUP(A20,#REF!,2,FALSE),"")</f>
        <v/>
      </c>
      <c r="F20" s="12" t="str">
        <f>IFERROR(VLOOKUP(B20,#REF!,2,FALSE),"")</f>
        <v/>
      </c>
      <c r="G20" s="12" t="str">
        <f>IFERROR(VLOOKUP(C20,#REF!,2,FALSE),"")</f>
        <v/>
      </c>
      <c r="H20" s="2"/>
      <c r="I20" s="2"/>
      <c r="J20" s="2"/>
    </row>
    <row r="21" spans="1:10" ht="16" x14ac:dyDescent="0.2">
      <c r="A21" s="5" t="s">
        <v>244</v>
      </c>
      <c r="B21" s="15" t="s">
        <v>67</v>
      </c>
      <c r="C21" s="12" t="s">
        <v>13</v>
      </c>
      <c r="D21" s="12"/>
      <c r="E21" s="12" t="str">
        <f>IFERROR(VLOOKUP(A21,#REF!,2,FALSE),"")</f>
        <v/>
      </c>
      <c r="F21" s="12" t="str">
        <f>IFERROR(VLOOKUP(B21,#REF!,2,FALSE),"")</f>
        <v/>
      </c>
      <c r="G21" s="12" t="str">
        <f>IFERROR(VLOOKUP(C21,#REF!,2,FALSE),"")</f>
        <v/>
      </c>
      <c r="H21" s="2"/>
      <c r="I21" s="2"/>
      <c r="J21" s="2"/>
    </row>
    <row r="22" spans="1:10" ht="16" x14ac:dyDescent="0.2">
      <c r="A22" s="5" t="s">
        <v>349</v>
      </c>
      <c r="B22" s="14" t="s">
        <v>69</v>
      </c>
      <c r="C22" s="12" t="s">
        <v>14</v>
      </c>
      <c r="D22" s="12"/>
      <c r="E22" s="12" t="str">
        <f>IFERROR(VLOOKUP(A22,#REF!,2,FALSE),"")</f>
        <v/>
      </c>
      <c r="F22" s="12" t="str">
        <f>IFERROR(VLOOKUP(B22,#REF!,2,FALSE),"")</f>
        <v/>
      </c>
      <c r="G22" s="12" t="str">
        <f>IFERROR(VLOOKUP(C22,#REF!,2,FALSE),"")</f>
        <v/>
      </c>
      <c r="H22" s="2"/>
      <c r="I22" s="2"/>
      <c r="J22" s="2"/>
    </row>
    <row r="23" spans="1:10" ht="16" x14ac:dyDescent="0.2">
      <c r="A23" s="12" t="s">
        <v>421</v>
      </c>
      <c r="B23" s="12" t="s">
        <v>405</v>
      </c>
      <c r="C23" s="12" t="s">
        <v>13</v>
      </c>
      <c r="D23" s="12"/>
      <c r="E23" s="12" t="str">
        <f>IFERROR(VLOOKUP(A23,#REF!,2,FALSE),"")</f>
        <v/>
      </c>
      <c r="F23" s="12" t="str">
        <f>IFERROR(VLOOKUP(B23,#REF!,2,FALSE),"")</f>
        <v/>
      </c>
      <c r="G23" s="12" t="str">
        <f>IFERROR(VLOOKUP(C23,#REF!,2,FALSE),"")</f>
        <v/>
      </c>
      <c r="H23" s="2"/>
      <c r="I23" s="2"/>
      <c r="J23" s="2"/>
    </row>
    <row r="24" spans="1:10" ht="16" x14ac:dyDescent="0.2">
      <c r="A24" s="5" t="s">
        <v>184</v>
      </c>
      <c r="B24" s="14" t="s">
        <v>45</v>
      </c>
      <c r="C24" s="12" t="s">
        <v>13</v>
      </c>
      <c r="D24" s="12"/>
      <c r="E24" s="12" t="str">
        <f>IFERROR(VLOOKUP(A24,#REF!,2,FALSE),"")</f>
        <v/>
      </c>
      <c r="F24" s="12" t="str">
        <f>IFERROR(VLOOKUP(B24,#REF!,2,FALSE),"")</f>
        <v/>
      </c>
      <c r="G24" s="12" t="str">
        <f>IFERROR(VLOOKUP(C24,#REF!,2,FALSE),"")</f>
        <v/>
      </c>
      <c r="H24" s="2"/>
      <c r="I24" s="2"/>
      <c r="J24" s="2"/>
    </row>
    <row r="25" spans="1:10" ht="16" x14ac:dyDescent="0.2">
      <c r="A25" t="s">
        <v>343</v>
      </c>
      <c r="B25" s="12" t="s">
        <v>69</v>
      </c>
      <c r="C25" s="12" t="s">
        <v>15</v>
      </c>
      <c r="D25" s="12"/>
      <c r="E25" s="12" t="str">
        <f>IFERROR(VLOOKUP(A25,#REF!,2,FALSE),"")</f>
        <v/>
      </c>
      <c r="F25" s="12" t="str">
        <f>IFERROR(VLOOKUP(B25,#REF!,2,FALSE),"")</f>
        <v/>
      </c>
      <c r="G25" s="12" t="str">
        <f>IFERROR(VLOOKUP(C25,#REF!,2,FALSE),"")</f>
        <v/>
      </c>
      <c r="H25" s="2"/>
      <c r="I25" s="2"/>
      <c r="J25" s="2"/>
    </row>
    <row r="26" spans="1:10" ht="16" x14ac:dyDescent="0.2">
      <c r="A26" s="12" t="s">
        <v>426</v>
      </c>
      <c r="B26" s="12" t="s">
        <v>403</v>
      </c>
      <c r="C26" s="12" t="s">
        <v>15</v>
      </c>
      <c r="D26" s="12"/>
      <c r="E26" s="12" t="str">
        <f>IFERROR(VLOOKUP(A26,#REF!,2,FALSE),"")</f>
        <v/>
      </c>
      <c r="F26" s="12" t="str">
        <f>IFERROR(VLOOKUP(B26,#REF!,2,FALSE),"")</f>
        <v/>
      </c>
      <c r="G26" s="12" t="str">
        <f>IFERROR(VLOOKUP(C26,#REF!,2,FALSE),"")</f>
        <v/>
      </c>
      <c r="H26" s="2"/>
      <c r="I26" s="2"/>
      <c r="J26" s="2"/>
    </row>
    <row r="27" spans="1:10" ht="16" x14ac:dyDescent="0.2">
      <c r="A27" s="5" t="s">
        <v>396</v>
      </c>
      <c r="B27" s="12" t="s">
        <v>49</v>
      </c>
      <c r="C27" s="12" t="s">
        <v>14</v>
      </c>
      <c r="D27" s="12"/>
      <c r="E27" s="12" t="str">
        <f>IFERROR(VLOOKUP(A27,#REF!,2,FALSE),"")</f>
        <v/>
      </c>
      <c r="F27" s="12" t="str">
        <f>IFERROR(VLOOKUP(B27,#REF!,2,FALSE),"")</f>
        <v/>
      </c>
      <c r="G27" s="12" t="str">
        <f>IFERROR(VLOOKUP(C27,#REF!,2,FALSE),"")</f>
        <v/>
      </c>
      <c r="H27" s="2"/>
      <c r="I27" s="2"/>
      <c r="J27" s="2"/>
    </row>
    <row r="28" spans="1:10" ht="16" x14ac:dyDescent="0.2">
      <c r="A28" s="5" t="s">
        <v>186</v>
      </c>
      <c r="B28" s="15" t="s">
        <v>67</v>
      </c>
      <c r="C28" s="12" t="s">
        <v>13</v>
      </c>
      <c r="D28" s="12"/>
      <c r="E28" s="12" t="str">
        <f>IFERROR(VLOOKUP(A28,#REF!,2,FALSE),"")</f>
        <v/>
      </c>
      <c r="F28" s="12" t="str">
        <f>IFERROR(VLOOKUP(B28,#REF!,2,FALSE),"")</f>
        <v/>
      </c>
      <c r="G28" s="12" t="str">
        <f>IFERROR(VLOOKUP(C28,#REF!,2,FALSE),"")</f>
        <v/>
      </c>
      <c r="H28" s="2"/>
      <c r="I28" s="2"/>
      <c r="J28" s="2"/>
    </row>
    <row r="29" spans="1:10" ht="16" x14ac:dyDescent="0.2">
      <c r="A29" s="5" t="s">
        <v>41</v>
      </c>
      <c r="B29" s="12" t="s">
        <v>68</v>
      </c>
      <c r="C29" s="12" t="s">
        <v>12</v>
      </c>
      <c r="D29" s="12"/>
      <c r="E29" s="12" t="str">
        <f>IFERROR(VLOOKUP(A29,#REF!,2,FALSE),"")</f>
        <v/>
      </c>
      <c r="F29" s="12" t="str">
        <f>IFERROR(VLOOKUP(B29,#REF!,2,FALSE),"")</f>
        <v/>
      </c>
      <c r="G29" s="12" t="str">
        <f>IFERROR(VLOOKUP(C29,#REF!,2,FALSE),"")</f>
        <v/>
      </c>
      <c r="H29" s="2"/>
      <c r="I29" s="2"/>
      <c r="J29" s="2"/>
    </row>
    <row r="30" spans="1:10" ht="16" x14ac:dyDescent="0.2">
      <c r="A30" s="5" t="s">
        <v>154</v>
      </c>
      <c r="B30" s="12" t="s">
        <v>48</v>
      </c>
      <c r="C30" s="12" t="s">
        <v>13</v>
      </c>
      <c r="D30" s="12"/>
      <c r="E30" s="12" t="str">
        <f>IFERROR(VLOOKUP(A30,#REF!,2,FALSE),"")</f>
        <v/>
      </c>
      <c r="F30" s="12" t="str">
        <f>IFERROR(VLOOKUP(B30,#REF!,2,FALSE),"")</f>
        <v/>
      </c>
      <c r="G30" s="12" t="str">
        <f>IFERROR(VLOOKUP(C30,#REF!,2,FALSE),"")</f>
        <v/>
      </c>
      <c r="H30" s="2"/>
      <c r="I30" s="2"/>
      <c r="J30" s="2"/>
    </row>
    <row r="31" spans="1:10" ht="16" x14ac:dyDescent="0.2">
      <c r="A31" s="12" t="s">
        <v>415</v>
      </c>
      <c r="B31" s="12" t="s">
        <v>403</v>
      </c>
      <c r="C31" s="12" t="s">
        <v>14</v>
      </c>
      <c r="D31" s="12"/>
      <c r="E31" s="12" t="str">
        <f>IFERROR(VLOOKUP(A31,#REF!,2,FALSE),"")</f>
        <v/>
      </c>
      <c r="F31" s="12" t="str">
        <f>IFERROR(VLOOKUP(B31,#REF!,2,FALSE),"")</f>
        <v/>
      </c>
      <c r="G31" s="12" t="str">
        <f>IFERROR(VLOOKUP(C31,#REF!,2,FALSE),"")</f>
        <v/>
      </c>
      <c r="H31" s="2"/>
      <c r="I31" s="2"/>
      <c r="J31" s="2"/>
    </row>
    <row r="32" spans="1:10" ht="16" x14ac:dyDescent="0.2">
      <c r="A32" s="12" t="s">
        <v>358</v>
      </c>
      <c r="B32" s="12" t="s">
        <v>64</v>
      </c>
      <c r="C32" s="12" t="s">
        <v>13</v>
      </c>
      <c r="D32" s="12"/>
      <c r="E32" s="12" t="str">
        <f>IFERROR(VLOOKUP(A32,#REF!,2,FALSE),"")</f>
        <v/>
      </c>
      <c r="F32" s="12" t="str">
        <f>IFERROR(VLOOKUP(B32,#REF!,2,FALSE),"")</f>
        <v/>
      </c>
      <c r="G32" s="12" t="str">
        <f>IFERROR(VLOOKUP(C32,#REF!,2,FALSE),"")</f>
        <v/>
      </c>
      <c r="H32" s="2"/>
      <c r="I32" s="2"/>
      <c r="J32" s="2"/>
    </row>
    <row r="33" spans="1:10" ht="16" x14ac:dyDescent="0.2">
      <c r="A33" s="16" t="s">
        <v>188</v>
      </c>
      <c r="B33" s="15" t="s">
        <v>63</v>
      </c>
      <c r="C33" s="12" t="s">
        <v>13</v>
      </c>
      <c r="D33" s="12"/>
      <c r="E33" s="12" t="str">
        <f>IFERROR(VLOOKUP(A33,#REF!,2,FALSE),"")</f>
        <v/>
      </c>
      <c r="F33" s="12" t="str">
        <f>IFERROR(VLOOKUP(B33,#REF!,2,FALSE),"")</f>
        <v/>
      </c>
      <c r="G33" s="12" t="str">
        <f>IFERROR(VLOOKUP(C33,#REF!,2,FALSE),"")</f>
        <v/>
      </c>
      <c r="H33" s="2"/>
      <c r="I33" s="2"/>
      <c r="J33" s="2"/>
    </row>
    <row r="34" spans="1:10" ht="16" x14ac:dyDescent="0.2">
      <c r="A34" s="12" t="s">
        <v>335</v>
      </c>
      <c r="B34" s="12" t="s">
        <v>67</v>
      </c>
      <c r="C34" s="12" t="s">
        <v>13</v>
      </c>
      <c r="D34" s="12"/>
      <c r="E34" s="12" t="str">
        <f>IFERROR(VLOOKUP(A34,#REF!,2,FALSE),"")</f>
        <v/>
      </c>
      <c r="F34" s="12" t="str">
        <f>IFERROR(VLOOKUP(B34,#REF!,2,FALSE),"")</f>
        <v/>
      </c>
      <c r="G34" s="12" t="str">
        <f>IFERROR(VLOOKUP(C34,#REF!,2,FALSE),"")</f>
        <v/>
      </c>
      <c r="H34" s="2"/>
      <c r="I34" s="2"/>
      <c r="J34" s="2"/>
    </row>
    <row r="35" spans="1:10" ht="16" x14ac:dyDescent="0.2">
      <c r="A35" s="12" t="s">
        <v>363</v>
      </c>
      <c r="B35" s="12" t="s">
        <v>60</v>
      </c>
      <c r="C35" s="12" t="s">
        <v>14</v>
      </c>
      <c r="D35" s="12"/>
      <c r="E35" s="12" t="str">
        <f>IFERROR(VLOOKUP(A35,#REF!,2,FALSE),"")</f>
        <v/>
      </c>
      <c r="F35" s="12" t="str">
        <f>IFERROR(VLOOKUP(B35,#REF!,2,FALSE),"")</f>
        <v/>
      </c>
      <c r="G35" s="12" t="str">
        <f>IFERROR(VLOOKUP(C35,#REF!,2,FALSE),"")</f>
        <v/>
      </c>
      <c r="H35" s="2"/>
      <c r="I35" s="2"/>
      <c r="J35" s="2"/>
    </row>
    <row r="36" spans="1:10" ht="16" x14ac:dyDescent="0.2">
      <c r="A36" s="12" t="s">
        <v>422</v>
      </c>
      <c r="B36" s="12" t="s">
        <v>405</v>
      </c>
      <c r="C36" s="12" t="s">
        <v>13</v>
      </c>
      <c r="D36" s="12"/>
      <c r="E36" s="12" t="str">
        <f>IFERROR(VLOOKUP(A36,#REF!,2,FALSE),"")</f>
        <v/>
      </c>
      <c r="F36" s="12" t="str">
        <f>IFERROR(VLOOKUP(B36,#REF!,2,FALSE),"")</f>
        <v/>
      </c>
      <c r="G36" s="12" t="str">
        <f>IFERROR(VLOOKUP(C36,#REF!,2,FALSE),"")</f>
        <v/>
      </c>
      <c r="H36" s="2"/>
      <c r="I36" s="2"/>
      <c r="J36" s="2"/>
    </row>
    <row r="37" spans="1:10" ht="16" x14ac:dyDescent="0.2">
      <c r="A37" s="12" t="s">
        <v>255</v>
      </c>
      <c r="B37" s="12" t="s">
        <v>50</v>
      </c>
      <c r="C37" s="12" t="s">
        <v>13</v>
      </c>
      <c r="D37" s="12"/>
      <c r="E37" s="12" t="str">
        <f>IFERROR(VLOOKUP(A37,#REF!,2,FALSE),"")</f>
        <v/>
      </c>
      <c r="F37" s="12" t="str">
        <f>IFERROR(VLOOKUP(B37,#REF!,2,FALSE),"")</f>
        <v/>
      </c>
      <c r="G37" s="12" t="str">
        <f>IFERROR(VLOOKUP(C37,#REF!,2,FALSE),"")</f>
        <v/>
      </c>
      <c r="H37" s="2"/>
      <c r="I37" s="2"/>
      <c r="J37" s="2"/>
    </row>
    <row r="38" spans="1:10" ht="16" x14ac:dyDescent="0.2">
      <c r="A38" s="12" t="s">
        <v>257</v>
      </c>
      <c r="B38" s="14" t="s">
        <v>61</v>
      </c>
      <c r="C38" s="12" t="s">
        <v>13</v>
      </c>
      <c r="D38" s="12"/>
      <c r="E38" s="12" t="str">
        <f>IFERROR(VLOOKUP(A38,#REF!,2,FALSE),"")</f>
        <v/>
      </c>
      <c r="F38" s="12" t="str">
        <f>IFERROR(VLOOKUP(B38,#REF!,2,FALSE),"")</f>
        <v/>
      </c>
      <c r="G38" s="12" t="str">
        <f>IFERROR(VLOOKUP(C38,#REF!,2,FALSE),"")</f>
        <v/>
      </c>
      <c r="H38" s="2"/>
      <c r="I38" s="2"/>
      <c r="J38" s="2"/>
    </row>
    <row r="39" spans="1:10" ht="16" x14ac:dyDescent="0.2">
      <c r="A39" s="12" t="s">
        <v>383</v>
      </c>
      <c r="B39" s="13" t="s">
        <v>49</v>
      </c>
      <c r="C39" s="12" t="s">
        <v>15</v>
      </c>
      <c r="D39" s="12"/>
      <c r="E39" s="12" t="str">
        <f>IFERROR(VLOOKUP(A39,#REF!,2,FALSE),"")</f>
        <v/>
      </c>
      <c r="F39" s="12" t="str">
        <f>IFERROR(VLOOKUP(B39,#REF!,2,FALSE),"")</f>
        <v/>
      </c>
      <c r="G39" s="12" t="str">
        <f>IFERROR(VLOOKUP(C39,#REF!,2,FALSE),"")</f>
        <v/>
      </c>
      <c r="H39" s="2"/>
      <c r="I39" s="2"/>
      <c r="J39" s="2"/>
    </row>
    <row r="40" spans="1:10" ht="16" x14ac:dyDescent="0.2">
      <c r="A40" s="8" t="s">
        <v>138</v>
      </c>
      <c r="B40" s="12" t="s">
        <v>52</v>
      </c>
      <c r="C40" s="12" t="s">
        <v>15</v>
      </c>
      <c r="D40" s="12"/>
      <c r="E40" s="12" t="str">
        <f>IFERROR(VLOOKUP(A40,#REF!,2,FALSE),"")</f>
        <v/>
      </c>
      <c r="F40" s="12" t="str">
        <f>IFERROR(VLOOKUP(B40,#REF!,2,FALSE),"")</f>
        <v/>
      </c>
      <c r="G40" s="12" t="str">
        <f>IFERROR(VLOOKUP(C40,#REF!,2,FALSE),"")</f>
        <v/>
      </c>
      <c r="H40" s="2"/>
      <c r="I40" s="2"/>
      <c r="J40" s="2"/>
    </row>
    <row r="41" spans="1:10" ht="16" x14ac:dyDescent="0.2">
      <c r="A41" s="12" t="s">
        <v>138</v>
      </c>
      <c r="B41" s="12" t="s">
        <v>127</v>
      </c>
      <c r="C41" s="12" t="s">
        <v>15</v>
      </c>
      <c r="D41" s="12"/>
      <c r="E41" s="12" t="str">
        <f>IFERROR(VLOOKUP(A41,#REF!,2,FALSE),"")</f>
        <v/>
      </c>
      <c r="F41" s="12" t="str">
        <f>IFERROR(VLOOKUP(B41,#REF!,2,FALSE),"")</f>
        <v/>
      </c>
      <c r="G41" s="12" t="str">
        <f>IFERROR(VLOOKUP(C41,#REF!,2,FALSE),"")</f>
        <v/>
      </c>
      <c r="H41" s="2"/>
      <c r="I41" s="2"/>
      <c r="J41" s="2"/>
    </row>
    <row r="42" spans="1:10" ht="16" x14ac:dyDescent="0.2">
      <c r="A42" s="12" t="s">
        <v>259</v>
      </c>
      <c r="B42" s="12" t="s">
        <v>127</v>
      </c>
      <c r="C42" s="12" t="s">
        <v>13</v>
      </c>
      <c r="D42" s="12"/>
      <c r="E42" s="12" t="str">
        <f>IFERROR(VLOOKUP(A42,#REF!,2,FALSE),"")</f>
        <v/>
      </c>
      <c r="F42" s="12" t="str">
        <f>IFERROR(VLOOKUP(B42,#REF!,2,FALSE),"")</f>
        <v/>
      </c>
      <c r="G42" s="12" t="str">
        <f>IFERROR(VLOOKUP(C42,#REF!,2,FALSE),"")</f>
        <v/>
      </c>
      <c r="H42" s="2"/>
      <c r="I42" s="2"/>
      <c r="J42" s="2"/>
    </row>
    <row r="43" spans="1:10" ht="16" x14ac:dyDescent="0.2">
      <c r="A43" s="5" t="s">
        <v>367</v>
      </c>
      <c r="B43" s="14" t="s">
        <v>59</v>
      </c>
      <c r="C43" s="12" t="s">
        <v>14</v>
      </c>
      <c r="D43" s="12"/>
      <c r="E43" s="12" t="str">
        <f>IFERROR(VLOOKUP(A43,#REF!,2,FALSE),"")</f>
        <v/>
      </c>
      <c r="F43" s="12" t="str">
        <f>IFERROR(VLOOKUP(B43,#REF!,2,FALSE),"")</f>
        <v/>
      </c>
      <c r="G43" s="12" t="str">
        <f>IFERROR(VLOOKUP(C43,#REF!,2,FALSE),"")</f>
        <v/>
      </c>
      <c r="H43" s="2"/>
      <c r="I43" s="2"/>
      <c r="J43" s="2"/>
    </row>
    <row r="44" spans="1:10" ht="16" x14ac:dyDescent="0.2">
      <c r="A44" s="12" t="s">
        <v>261</v>
      </c>
      <c r="B44" s="12" t="s">
        <v>126</v>
      </c>
      <c r="C44" s="12" t="s">
        <v>13</v>
      </c>
      <c r="D44" s="12"/>
      <c r="E44" s="12" t="str">
        <f>IFERROR(VLOOKUP(A44,#REF!,2,FALSE),"")</f>
        <v/>
      </c>
      <c r="F44" s="12" t="str">
        <f>IFERROR(VLOOKUP(B44,#REF!,2,FALSE),"")</f>
        <v/>
      </c>
      <c r="G44" s="12" t="str">
        <f>IFERROR(VLOOKUP(C44,#REF!,2,FALSE),"")</f>
        <v/>
      </c>
      <c r="H44" s="2"/>
      <c r="I44" s="2"/>
      <c r="J44" s="2"/>
    </row>
    <row r="45" spans="1:10" ht="16" x14ac:dyDescent="0.2">
      <c r="A45" s="12" t="s">
        <v>263</v>
      </c>
      <c r="B45" s="12" t="s">
        <v>59</v>
      </c>
      <c r="C45" s="12" t="s">
        <v>13</v>
      </c>
      <c r="D45" s="12"/>
      <c r="E45" s="12" t="str">
        <f>IFERROR(VLOOKUP(A45,#REF!,2,FALSE),"")</f>
        <v/>
      </c>
      <c r="F45" s="12" t="str">
        <f>IFERROR(VLOOKUP(B45,#REF!,2,FALSE),"")</f>
        <v/>
      </c>
      <c r="G45" s="12" t="str">
        <f>IFERROR(VLOOKUP(C45,#REF!,2,FALSE),"")</f>
        <v/>
      </c>
      <c r="H45" s="2"/>
      <c r="I45" s="2"/>
      <c r="J45" s="2"/>
    </row>
    <row r="46" spans="1:10" ht="16" x14ac:dyDescent="0.2">
      <c r="A46" s="11" t="s">
        <v>263</v>
      </c>
      <c r="B46" s="12" t="s">
        <v>59</v>
      </c>
      <c r="C46" s="12" t="s">
        <v>13</v>
      </c>
      <c r="D46" s="12"/>
      <c r="E46" s="12" t="str">
        <f>IFERROR(VLOOKUP(A46,#REF!,2,FALSE),"")</f>
        <v/>
      </c>
      <c r="F46" s="12" t="str">
        <f>IFERROR(VLOOKUP(B46,#REF!,2,FALSE),"")</f>
        <v/>
      </c>
      <c r="G46" s="12" t="str">
        <f>IFERROR(VLOOKUP(C46,#REF!,2,FALSE),"")</f>
        <v/>
      </c>
      <c r="H46" s="2"/>
      <c r="I46" s="2"/>
      <c r="J46" s="2"/>
    </row>
    <row r="47" spans="1:10" ht="16" x14ac:dyDescent="0.2">
      <c r="A47" s="5" t="s">
        <v>190</v>
      </c>
      <c r="B47" s="12" t="s">
        <v>407</v>
      </c>
      <c r="C47" s="12" t="s">
        <v>13</v>
      </c>
      <c r="D47" s="12"/>
      <c r="E47" s="12" t="str">
        <f>IFERROR(VLOOKUP(A47,#REF!,2,FALSE),"")</f>
        <v/>
      </c>
      <c r="F47" s="12" t="str">
        <f>IFERROR(VLOOKUP(B47,#REF!,2,FALSE),"")</f>
        <v/>
      </c>
      <c r="G47" s="12" t="str">
        <f>IFERROR(VLOOKUP(C47,#REF!,2,FALSE),"")</f>
        <v/>
      </c>
      <c r="H47" s="2"/>
      <c r="I47" s="2"/>
      <c r="J47" s="2"/>
    </row>
    <row r="48" spans="1:10" ht="16" x14ac:dyDescent="0.2">
      <c r="A48" s="12" t="s">
        <v>265</v>
      </c>
      <c r="B48" s="14" t="s">
        <v>64</v>
      </c>
      <c r="C48" s="12" t="s">
        <v>13</v>
      </c>
      <c r="D48" s="12"/>
      <c r="E48" s="12" t="str">
        <f>IFERROR(VLOOKUP(A48,#REF!,2,FALSE),"")</f>
        <v/>
      </c>
      <c r="F48" s="12" t="str">
        <f>IFERROR(VLOOKUP(B48,#REF!,2,FALSE),"")</f>
        <v/>
      </c>
      <c r="G48" s="12" t="str">
        <f>IFERROR(VLOOKUP(C48,#REF!,2,FALSE),"")</f>
        <v/>
      </c>
      <c r="H48" s="2"/>
      <c r="I48" s="2"/>
      <c r="J48" s="2"/>
    </row>
    <row r="49" spans="1:10" ht="16" x14ac:dyDescent="0.2">
      <c r="A49" s="5" t="s">
        <v>192</v>
      </c>
      <c r="B49" s="12" t="s">
        <v>65</v>
      </c>
      <c r="C49" s="12" t="s">
        <v>13</v>
      </c>
      <c r="D49" s="12"/>
      <c r="E49" s="12" t="str">
        <f>IFERROR(VLOOKUP(A49,#REF!,2,FALSE),"")</f>
        <v/>
      </c>
      <c r="F49" s="12" t="str">
        <f>IFERROR(VLOOKUP(B49,#REF!,2,FALSE),"")</f>
        <v/>
      </c>
      <c r="G49" s="12" t="str">
        <f>IFERROR(VLOOKUP(C49,#REF!,2,FALSE),"")</f>
        <v/>
      </c>
      <c r="H49" s="2"/>
      <c r="I49" s="2"/>
      <c r="J49" s="2"/>
    </row>
    <row r="50" spans="1:10" ht="16" x14ac:dyDescent="0.2">
      <c r="A50" s="5" t="s">
        <v>194</v>
      </c>
      <c r="B50" s="12" t="s">
        <v>60</v>
      </c>
      <c r="C50" s="12" t="s">
        <v>13</v>
      </c>
      <c r="D50" s="12"/>
      <c r="E50" s="12" t="str">
        <f>IFERROR(VLOOKUP(A50,#REF!,2,FALSE),"")</f>
        <v/>
      </c>
      <c r="F50" s="12" t="str">
        <f>IFERROR(VLOOKUP(B50,#REF!,2,FALSE),"")</f>
        <v/>
      </c>
      <c r="G50" s="12" t="str">
        <f>IFERROR(VLOOKUP(C50,#REF!,2,FALSE),"")</f>
        <v/>
      </c>
      <c r="H50" s="2"/>
      <c r="I50" s="2"/>
      <c r="J50" s="2"/>
    </row>
    <row r="51" spans="1:10" ht="16" x14ac:dyDescent="0.2">
      <c r="A51" s="5" t="s">
        <v>26</v>
      </c>
      <c r="B51" s="13" t="s">
        <v>50</v>
      </c>
      <c r="C51" s="12" t="s">
        <v>12</v>
      </c>
      <c r="D51" s="12"/>
      <c r="E51" s="12" t="str">
        <f>IFERROR(VLOOKUP(A51,#REF!,2,FALSE),"")</f>
        <v/>
      </c>
      <c r="F51" s="12" t="str">
        <f>IFERROR(VLOOKUP(B51,#REF!,2,FALSE),"")</f>
        <v/>
      </c>
      <c r="G51" s="12" t="str">
        <f>IFERROR(VLOOKUP(C51,#REF!,2,FALSE),"")</f>
        <v/>
      </c>
      <c r="H51" s="2"/>
      <c r="I51" s="2"/>
      <c r="J51" s="2"/>
    </row>
    <row r="52" spans="1:10" ht="16" x14ac:dyDescent="0.2">
      <c r="A52" s="5" t="s">
        <v>39</v>
      </c>
      <c r="B52" s="12" t="s">
        <v>66</v>
      </c>
      <c r="C52" s="12" t="s">
        <v>12</v>
      </c>
      <c r="D52" s="12"/>
      <c r="E52" s="12" t="str">
        <f>IFERROR(VLOOKUP(A52,#REF!,2,FALSE),"")</f>
        <v/>
      </c>
      <c r="F52" s="12" t="str">
        <f>IFERROR(VLOOKUP(B52,#REF!,2,FALSE),"")</f>
        <v/>
      </c>
      <c r="G52" s="12" t="str">
        <f>IFERROR(VLOOKUP(C52,#REF!,2,FALSE),"")</f>
        <v/>
      </c>
      <c r="H52" s="2"/>
      <c r="I52" s="2"/>
      <c r="J52" s="2"/>
    </row>
    <row r="53" spans="1:10" ht="16" x14ac:dyDescent="0.2">
      <c r="A53" s="5" t="s">
        <v>391</v>
      </c>
      <c r="B53" s="13" t="s">
        <v>49</v>
      </c>
      <c r="C53" s="12" t="s">
        <v>14</v>
      </c>
      <c r="D53" s="12"/>
      <c r="E53" s="12" t="str">
        <f>IFERROR(VLOOKUP(A53,#REF!,2,FALSE),"")</f>
        <v/>
      </c>
      <c r="F53" s="12" t="str">
        <f>IFERROR(VLOOKUP(B53,#REF!,2,FALSE),"")</f>
        <v/>
      </c>
      <c r="G53" s="12" t="str">
        <f>IFERROR(VLOOKUP(C53,#REF!,2,FALSE),"")</f>
        <v/>
      </c>
      <c r="H53" s="2"/>
      <c r="I53" s="2"/>
      <c r="J53" s="2"/>
    </row>
    <row r="54" spans="1:10" ht="16" x14ac:dyDescent="0.2">
      <c r="A54" s="12" t="s">
        <v>374</v>
      </c>
      <c r="B54" s="12" t="s">
        <v>55</v>
      </c>
      <c r="C54" s="12" t="s">
        <v>14</v>
      </c>
      <c r="D54" s="12"/>
      <c r="E54" s="12" t="str">
        <f>IFERROR(VLOOKUP(A54,#REF!,2,FALSE),"")</f>
        <v/>
      </c>
      <c r="F54" s="12" t="str">
        <f>IFERROR(VLOOKUP(B54,#REF!,2,FALSE),"")</f>
        <v/>
      </c>
      <c r="G54" s="12" t="str">
        <f>IFERROR(VLOOKUP(C54,#REF!,2,FALSE),"")</f>
        <v/>
      </c>
      <c r="H54" s="2"/>
      <c r="I54" s="2"/>
      <c r="J54" s="2"/>
    </row>
    <row r="55" spans="1:10" ht="16" x14ac:dyDescent="0.2">
      <c r="A55" s="5" t="s">
        <v>198</v>
      </c>
      <c r="B55" s="15" t="s">
        <v>54</v>
      </c>
      <c r="C55" s="12" t="s">
        <v>13</v>
      </c>
      <c r="D55" s="12"/>
      <c r="E55" s="12" t="str">
        <f>IFERROR(VLOOKUP(A55,#REF!,2,FALSE),"")</f>
        <v/>
      </c>
      <c r="F55" s="12" t="str">
        <f>IFERROR(VLOOKUP(B55,#REF!,2,FALSE),"")</f>
        <v/>
      </c>
      <c r="G55" s="12" t="str">
        <f>IFERROR(VLOOKUP(C55,#REF!,2,FALSE),"")</f>
        <v/>
      </c>
      <c r="H55" s="2"/>
      <c r="I55" s="2"/>
      <c r="J55" s="2"/>
    </row>
    <row r="56" spans="1:10" ht="16" x14ac:dyDescent="0.2">
      <c r="A56" s="5" t="s">
        <v>42</v>
      </c>
      <c r="B56" s="12" t="s">
        <v>127</v>
      </c>
      <c r="C56" s="12" t="s">
        <v>12</v>
      </c>
      <c r="D56" s="12"/>
      <c r="E56" s="12" t="str">
        <f>IFERROR(VLOOKUP(A56,#REF!,2,FALSE),"")</f>
        <v/>
      </c>
      <c r="F56" s="12" t="str">
        <f>IFERROR(VLOOKUP(B56,#REF!,2,FALSE),"")</f>
        <v/>
      </c>
      <c r="G56" s="12" t="str">
        <f>IFERROR(VLOOKUP(C56,#REF!,2,FALSE),"")</f>
        <v/>
      </c>
      <c r="H56" s="2"/>
      <c r="I56" s="2"/>
      <c r="J56" s="2"/>
    </row>
    <row r="57" spans="1:10" ht="16" x14ac:dyDescent="0.2">
      <c r="A57" s="12" t="s">
        <v>419</v>
      </c>
      <c r="B57" s="12" t="s">
        <v>404</v>
      </c>
      <c r="C57" s="12" t="s">
        <v>14</v>
      </c>
      <c r="D57" s="12"/>
      <c r="E57" s="12" t="str">
        <f>IFERROR(VLOOKUP(A57,#REF!,2,FALSE),"")</f>
        <v/>
      </c>
      <c r="F57" s="12" t="str">
        <f>IFERROR(VLOOKUP(B57,#REF!,2,FALSE),"")</f>
        <v/>
      </c>
      <c r="G57" s="12" t="str">
        <f>IFERROR(VLOOKUP(C57,#REF!,2,FALSE),"")</f>
        <v/>
      </c>
      <c r="H57" s="2"/>
      <c r="I57" s="2"/>
      <c r="J57" s="2"/>
    </row>
    <row r="58" spans="1:10" ht="16" x14ac:dyDescent="0.2">
      <c r="A58" s="12" t="s">
        <v>267</v>
      </c>
      <c r="B58" s="14" t="s">
        <v>46</v>
      </c>
      <c r="C58" s="12" t="s">
        <v>13</v>
      </c>
      <c r="D58" s="12"/>
      <c r="E58" s="12" t="str">
        <f>IFERROR(VLOOKUP(A58,#REF!,2,FALSE),"")</f>
        <v/>
      </c>
      <c r="F58" s="12" t="str">
        <f>IFERROR(VLOOKUP(B58,#REF!,2,FALSE),"")</f>
        <v/>
      </c>
      <c r="G58" s="12" t="str">
        <f>IFERROR(VLOOKUP(C58,#REF!,2,FALSE),"")</f>
        <v/>
      </c>
      <c r="H58" s="2"/>
      <c r="I58" s="2"/>
      <c r="J58" s="2"/>
    </row>
    <row r="59" spans="1:10" ht="16" x14ac:dyDescent="0.2">
      <c r="A59" s="12" t="s">
        <v>269</v>
      </c>
      <c r="B59" s="12" t="s">
        <v>127</v>
      </c>
      <c r="C59" s="12" t="s">
        <v>13</v>
      </c>
      <c r="D59" s="12"/>
      <c r="E59" s="12" t="str">
        <f>IFERROR(VLOOKUP(A59,#REF!,2,FALSE),"")</f>
        <v/>
      </c>
      <c r="F59" s="12" t="str">
        <f>IFERROR(VLOOKUP(B59,#REF!,2,FALSE),"")</f>
        <v/>
      </c>
      <c r="G59" s="12" t="str">
        <f>IFERROR(VLOOKUP(C59,#REF!,2,FALSE),"")</f>
        <v/>
      </c>
      <c r="H59" s="2"/>
      <c r="I59" s="2"/>
      <c r="J59" s="2"/>
    </row>
    <row r="60" spans="1:10" ht="16" x14ac:dyDescent="0.2">
      <c r="A60" s="5" t="s">
        <v>162</v>
      </c>
      <c r="B60" s="12"/>
      <c r="C60" s="12"/>
      <c r="D60" s="12"/>
      <c r="E60" s="12" t="str">
        <f>IFERROR(VLOOKUP(A60,#REF!,2,FALSE),"")</f>
        <v/>
      </c>
      <c r="F60" s="12" t="str">
        <f>IFERROR(VLOOKUP(B60,#REF!,2,FALSE),"")</f>
        <v/>
      </c>
      <c r="G60" s="12" t="str">
        <f>IFERROR(VLOOKUP(C60,#REF!,2,FALSE),"")</f>
        <v/>
      </c>
      <c r="H60" s="2"/>
      <c r="I60" s="2"/>
      <c r="J60" s="2"/>
    </row>
    <row r="61" spans="1:10" ht="16" x14ac:dyDescent="0.2">
      <c r="A61" s="5" t="s">
        <v>200</v>
      </c>
      <c r="B61" s="12" t="s">
        <v>46</v>
      </c>
      <c r="C61" s="12" t="s">
        <v>14</v>
      </c>
      <c r="D61" s="12"/>
      <c r="E61" s="12"/>
      <c r="F61" s="12"/>
      <c r="G61" s="12"/>
      <c r="H61" s="2"/>
      <c r="I61" s="2"/>
      <c r="J61" s="2"/>
    </row>
    <row r="62" spans="1:10" ht="16" x14ac:dyDescent="0.2">
      <c r="A62" s="5" t="s">
        <v>200</v>
      </c>
      <c r="B62" s="15" t="s">
        <v>125</v>
      </c>
      <c r="C62" s="12" t="s">
        <v>13</v>
      </c>
      <c r="D62" s="12"/>
      <c r="E62" s="12" t="str">
        <f>IFERROR(VLOOKUP(A62,#REF!,2,FALSE),"")</f>
        <v/>
      </c>
      <c r="F62" s="12" t="str">
        <f>IFERROR(VLOOKUP(B62,#REF!,2,FALSE),"")</f>
        <v/>
      </c>
      <c r="G62" s="12" t="str">
        <f>IFERROR(VLOOKUP(C62,#REF!,2,FALSE),"")</f>
        <v/>
      </c>
      <c r="H62" s="2"/>
      <c r="I62" s="2"/>
      <c r="J62" s="2"/>
    </row>
    <row r="63" spans="1:10" ht="16" x14ac:dyDescent="0.2">
      <c r="A63" s="16" t="s">
        <v>236</v>
      </c>
      <c r="B63" s="12" t="s">
        <v>60</v>
      </c>
      <c r="C63" s="12" t="s">
        <v>13</v>
      </c>
      <c r="D63" s="12"/>
      <c r="E63" s="12" t="str">
        <f>IFERROR(VLOOKUP(A63,#REF!,2,FALSE),"")</f>
        <v/>
      </c>
      <c r="F63" s="12" t="str">
        <f>IFERROR(VLOOKUP(B63,#REF!,2,FALSE),"")</f>
        <v/>
      </c>
      <c r="G63" s="12" t="str">
        <f>IFERROR(VLOOKUP(C63,#REF!,2,FALSE),"")</f>
        <v/>
      </c>
      <c r="H63" s="2"/>
      <c r="I63" s="2"/>
      <c r="J63" s="2"/>
    </row>
    <row r="64" spans="1:10" ht="16" x14ac:dyDescent="0.2">
      <c r="A64" s="12" t="s">
        <v>271</v>
      </c>
      <c r="B64" s="14" t="s">
        <v>48</v>
      </c>
      <c r="C64" s="12" t="s">
        <v>13</v>
      </c>
      <c r="D64" s="12"/>
      <c r="E64" s="12" t="str">
        <f>IFERROR(VLOOKUP(A64,#REF!,2,FALSE),"")</f>
        <v/>
      </c>
      <c r="F64" s="12" t="str">
        <f>IFERROR(VLOOKUP(B64,#REF!,2,FALSE),"")</f>
        <v/>
      </c>
      <c r="G64" s="12" t="str">
        <f>IFERROR(VLOOKUP(C64,#REF!,2,FALSE),"")</f>
        <v/>
      </c>
      <c r="H64" s="2"/>
      <c r="I64" s="2"/>
      <c r="J64" s="2"/>
    </row>
    <row r="65" spans="1:10" ht="16" x14ac:dyDescent="0.2">
      <c r="A65" s="5" t="s">
        <v>339</v>
      </c>
      <c r="B65" s="12" t="s">
        <v>65</v>
      </c>
      <c r="C65" s="12" t="s">
        <v>14</v>
      </c>
      <c r="D65" s="12"/>
      <c r="E65" s="12" t="str">
        <f>IFERROR(VLOOKUP(A65,#REF!,2,FALSE),"")</f>
        <v/>
      </c>
      <c r="F65" s="12" t="str">
        <f>IFERROR(VLOOKUP(B65,#REF!,2,FALSE),"")</f>
        <v/>
      </c>
      <c r="G65" s="12" t="str">
        <f>IFERROR(VLOOKUP(C65,#REF!,2,FALSE),"")</f>
        <v/>
      </c>
      <c r="H65" s="2"/>
      <c r="I65" s="2"/>
      <c r="J65" s="2"/>
    </row>
    <row r="66" spans="1:10" ht="16" x14ac:dyDescent="0.2">
      <c r="A66" s="5" t="s">
        <v>132</v>
      </c>
      <c r="B66" s="12" t="s">
        <v>45</v>
      </c>
      <c r="C66" s="12" t="s">
        <v>15</v>
      </c>
      <c r="D66" s="12"/>
      <c r="E66" s="12" t="str">
        <f>IFERROR(VLOOKUP(#REF!,#REF!,2,FALSE),"")</f>
        <v/>
      </c>
      <c r="F66" s="12" t="str">
        <f>IFERROR(VLOOKUP(B66,#REF!,2,FALSE),"")</f>
        <v/>
      </c>
      <c r="G66" s="12" t="str">
        <f>IFERROR(VLOOKUP(C66,#REF!,2,FALSE),"")</f>
        <v/>
      </c>
      <c r="H66" s="2"/>
      <c r="I66" s="2"/>
      <c r="J66" s="2"/>
    </row>
    <row r="67" spans="1:10" ht="16" x14ac:dyDescent="0.2">
      <c r="A67" s="5" t="s">
        <v>202</v>
      </c>
      <c r="B67" s="12" t="s">
        <v>55</v>
      </c>
      <c r="C67" s="12" t="s">
        <v>13</v>
      </c>
      <c r="D67" s="12"/>
      <c r="E67" s="12" t="str">
        <f>IFERROR(VLOOKUP(A67,#REF!,2,FALSE),"")</f>
        <v/>
      </c>
      <c r="F67" s="12" t="str">
        <f>IFERROR(VLOOKUP(B67,#REF!,2,FALSE),"")</f>
        <v/>
      </c>
      <c r="G67" s="12" t="str">
        <f>IFERROR(VLOOKUP(C67,#REF!,2,FALSE),"")</f>
        <v/>
      </c>
      <c r="H67" s="2"/>
      <c r="I67" s="2"/>
      <c r="J67" s="2"/>
    </row>
    <row r="68" spans="1:10" ht="16" x14ac:dyDescent="0.2">
      <c r="A68" s="12" t="s">
        <v>382</v>
      </c>
      <c r="B68" s="12" t="s">
        <v>47</v>
      </c>
      <c r="C68" s="12" t="s">
        <v>15</v>
      </c>
      <c r="D68" s="12"/>
      <c r="E68" s="12" t="str">
        <f>IFERROR(VLOOKUP(A68,#REF!,2,FALSE),"")</f>
        <v/>
      </c>
      <c r="F68" s="12" t="str">
        <f>IFERROR(VLOOKUP(B68,#REF!,2,FALSE),"")</f>
        <v/>
      </c>
      <c r="G68" s="12" t="str">
        <f>IFERROR(VLOOKUP(C68,#REF!,2,FALSE),"")</f>
        <v/>
      </c>
      <c r="H68" s="2"/>
      <c r="I68" s="2"/>
      <c r="J68" s="2"/>
    </row>
    <row r="69" spans="1:10" ht="16" x14ac:dyDescent="0.2">
      <c r="A69" t="s">
        <v>140</v>
      </c>
      <c r="B69" s="13" t="s">
        <v>64</v>
      </c>
      <c r="C69" s="12" t="s">
        <v>15</v>
      </c>
      <c r="D69" s="12"/>
      <c r="E69" s="12" t="str">
        <f>IFERROR(VLOOKUP(A69,#REF!,2,FALSE),"")</f>
        <v/>
      </c>
      <c r="F69" s="12" t="str">
        <f>IFERROR(VLOOKUP(B69,#REF!,2,FALSE),"")</f>
        <v/>
      </c>
      <c r="G69" s="12" t="str">
        <f>IFERROR(VLOOKUP(C69,#REF!,2,FALSE),"")</f>
        <v/>
      </c>
      <c r="H69" s="2"/>
      <c r="I69" s="2"/>
      <c r="J69" s="2"/>
    </row>
    <row r="70" spans="1:10" ht="16" x14ac:dyDescent="0.2">
      <c r="A70" s="11" t="s">
        <v>204</v>
      </c>
      <c r="B70" s="12" t="s">
        <v>68</v>
      </c>
      <c r="C70" s="12" t="s">
        <v>13</v>
      </c>
      <c r="D70" s="12"/>
      <c r="E70" s="12" t="str">
        <f>IFERROR(VLOOKUP(A70,#REF!,2,FALSE),"")</f>
        <v/>
      </c>
      <c r="F70" s="12" t="str">
        <f>IFERROR(VLOOKUP(B70,#REF!,2,FALSE),"")</f>
        <v/>
      </c>
      <c r="G70" s="12" t="str">
        <f>IFERROR(VLOOKUP(C70,#REF!,2,FALSE),"")</f>
        <v/>
      </c>
      <c r="H70" s="2"/>
      <c r="I70" s="2"/>
      <c r="J70" s="2"/>
    </row>
    <row r="71" spans="1:10" ht="16" x14ac:dyDescent="0.2">
      <c r="A71" s="5" t="s">
        <v>240</v>
      </c>
      <c r="B71" s="12" t="s">
        <v>67</v>
      </c>
      <c r="C71" s="12" t="s">
        <v>13</v>
      </c>
      <c r="D71" s="12"/>
      <c r="E71" s="12" t="str">
        <f>IFERROR(VLOOKUP(A71,#REF!,2,FALSE),"")</f>
        <v/>
      </c>
      <c r="F71" s="12" t="str">
        <f>IFERROR(VLOOKUP(B71,#REF!,2,FALSE),"")</f>
        <v/>
      </c>
      <c r="G71" s="12" t="str">
        <f>IFERROR(VLOOKUP(C71,#REF!,2,FALSE),"")</f>
        <v/>
      </c>
      <c r="H71" s="2"/>
      <c r="I71" s="2"/>
      <c r="J71" s="2"/>
    </row>
    <row r="72" spans="1:10" ht="16" x14ac:dyDescent="0.2">
      <c r="A72" s="12" t="s">
        <v>427</v>
      </c>
      <c r="B72" s="12" t="s">
        <v>404</v>
      </c>
      <c r="C72" s="12" t="s">
        <v>15</v>
      </c>
      <c r="D72" s="12"/>
      <c r="E72" s="12" t="str">
        <f>IFERROR(VLOOKUP(A72,#REF!,2,FALSE),"")</f>
        <v/>
      </c>
      <c r="F72" s="12" t="str">
        <f>IFERROR(VLOOKUP(B72,#REF!,2,FALSE),"")</f>
        <v/>
      </c>
      <c r="G72" s="12" t="str">
        <f>IFERROR(VLOOKUP(C72,#REF!,2,FALSE),"")</f>
        <v/>
      </c>
      <c r="H72" s="2"/>
      <c r="I72" s="2"/>
      <c r="J72" s="2"/>
    </row>
    <row r="73" spans="1:10" ht="16" x14ac:dyDescent="0.2">
      <c r="A73" s="8" t="s">
        <v>377</v>
      </c>
      <c r="B73" s="12" t="s">
        <v>53</v>
      </c>
      <c r="C73" s="12" t="s">
        <v>15</v>
      </c>
      <c r="D73" s="12"/>
      <c r="E73" s="12" t="str">
        <f>IFERROR(VLOOKUP(A73,#REF!,2,FALSE),"")</f>
        <v/>
      </c>
      <c r="F73" s="12" t="str">
        <f>IFERROR(VLOOKUP(B73,#REF!,2,FALSE),"")</f>
        <v/>
      </c>
      <c r="G73" s="12" t="str">
        <f>IFERROR(VLOOKUP(C73,#REF!,2,FALSE),"")</f>
        <v/>
      </c>
      <c r="H73" s="2"/>
      <c r="I73" s="2"/>
      <c r="J73" s="2"/>
    </row>
    <row r="74" spans="1:10" ht="16" x14ac:dyDescent="0.2">
      <c r="A74" s="5" t="s">
        <v>242</v>
      </c>
      <c r="B74" s="12" t="s">
        <v>46</v>
      </c>
      <c r="C74" s="12" t="s">
        <v>13</v>
      </c>
      <c r="D74" s="12"/>
      <c r="E74" s="12" t="str">
        <f>IFERROR(VLOOKUP(A74,#REF!,2,FALSE),"")</f>
        <v/>
      </c>
      <c r="F74" s="12" t="str">
        <f>IFERROR(VLOOKUP(B74,#REF!,2,FALSE),"")</f>
        <v/>
      </c>
      <c r="G74" s="12" t="str">
        <f>IFERROR(VLOOKUP(C74,#REF!,2,FALSE),"")</f>
        <v/>
      </c>
      <c r="H74" s="2"/>
      <c r="I74" s="2"/>
      <c r="J74" s="2"/>
    </row>
    <row r="75" spans="1:10" ht="16" x14ac:dyDescent="0.2">
      <c r="A75" s="16" t="s">
        <v>206</v>
      </c>
      <c r="B75" s="14" t="s">
        <v>60</v>
      </c>
      <c r="C75" s="12" t="s">
        <v>13</v>
      </c>
      <c r="D75" s="12"/>
      <c r="E75" s="12" t="str">
        <f>IFERROR(VLOOKUP(A75,#REF!,2,FALSE),"")</f>
        <v/>
      </c>
      <c r="F75" s="12" t="str">
        <f>IFERROR(VLOOKUP(B75,#REF!,2,FALSE),"")</f>
        <v/>
      </c>
      <c r="G75" s="12" t="str">
        <f>IFERROR(VLOOKUP(C75,#REF!,2,FALSE),"")</f>
        <v/>
      </c>
      <c r="H75" s="2"/>
      <c r="I75" s="2"/>
      <c r="J75" s="2"/>
    </row>
    <row r="76" spans="1:10" ht="16" x14ac:dyDescent="0.2">
      <c r="A76" s="5" t="s">
        <v>34</v>
      </c>
      <c r="B76" s="14" t="s">
        <v>61</v>
      </c>
      <c r="C76" s="12" t="s">
        <v>12</v>
      </c>
      <c r="D76" s="12"/>
      <c r="E76" s="12" t="str">
        <f>IFERROR(VLOOKUP(A76,#REF!,2,FALSE),"")</f>
        <v/>
      </c>
      <c r="F76" s="12" t="str">
        <f>IFERROR(VLOOKUP(B76,#REF!,2,FALSE),"")</f>
        <v/>
      </c>
      <c r="G76" s="12" t="str">
        <f>IFERROR(VLOOKUP(C76,#REF!,2,FALSE),"")</f>
        <v/>
      </c>
      <c r="H76" s="2"/>
      <c r="I76" s="2"/>
      <c r="J76" s="2"/>
    </row>
    <row r="77" spans="1:10" ht="16" x14ac:dyDescent="0.2">
      <c r="A77" s="12" t="s">
        <v>273</v>
      </c>
      <c r="B77" s="12" t="s">
        <v>62</v>
      </c>
      <c r="C77" s="12" t="s">
        <v>13</v>
      </c>
      <c r="D77" s="12"/>
      <c r="E77" s="12" t="str">
        <f>IFERROR(VLOOKUP(A77,#REF!,2,FALSE),"")</f>
        <v/>
      </c>
      <c r="F77" s="12" t="str">
        <f>IFERROR(VLOOKUP(B77,#REF!,2,FALSE),"")</f>
        <v/>
      </c>
      <c r="G77" s="12" t="str">
        <f>IFERROR(VLOOKUP(C77,#REF!,2,FALSE),"")</f>
        <v/>
      </c>
      <c r="H77" s="2"/>
      <c r="I77" s="2"/>
      <c r="J77" s="2"/>
    </row>
    <row r="78" spans="1:10" ht="16" x14ac:dyDescent="0.2">
      <c r="A78" s="12" t="s">
        <v>361</v>
      </c>
      <c r="B78" s="12" t="s">
        <v>61</v>
      </c>
      <c r="C78" s="12" t="s">
        <v>13</v>
      </c>
      <c r="D78" s="12"/>
      <c r="E78" s="12" t="str">
        <f>IFERROR(VLOOKUP(A78,#REF!,2,FALSE),"")</f>
        <v/>
      </c>
      <c r="F78" s="12" t="str">
        <f>IFERROR(VLOOKUP(B78,#REF!,2,FALSE),"")</f>
        <v/>
      </c>
      <c r="G78" s="12" t="str">
        <f>IFERROR(VLOOKUP(C78,#REF!,2,FALSE),"")</f>
        <v/>
      </c>
      <c r="H78" s="2"/>
      <c r="I78" s="2"/>
      <c r="J78" s="2"/>
    </row>
    <row r="79" spans="1:10" ht="16" x14ac:dyDescent="0.2">
      <c r="A79" s="12" t="s">
        <v>277</v>
      </c>
      <c r="B79" s="12" t="s">
        <v>126</v>
      </c>
      <c r="C79" s="12" t="s">
        <v>13</v>
      </c>
      <c r="D79" s="12"/>
      <c r="E79" s="12" t="str">
        <f>IFERROR(VLOOKUP(A79,#REF!,2,FALSE),"")</f>
        <v/>
      </c>
      <c r="F79" s="12" t="str">
        <f>IFERROR(VLOOKUP(B79,#REF!,2,FALSE),"")</f>
        <v/>
      </c>
      <c r="G79" s="12" t="str">
        <f>IFERROR(VLOOKUP(C79,#REF!,2,FALSE),"")</f>
        <v/>
      </c>
      <c r="H79" s="2"/>
      <c r="I79" s="2"/>
      <c r="J79" s="2"/>
    </row>
    <row r="80" spans="1:10" ht="16" x14ac:dyDescent="0.2">
      <c r="A80" s="5" t="s">
        <v>22</v>
      </c>
      <c r="B80" s="12" t="s">
        <v>47</v>
      </c>
      <c r="C80" s="12" t="s">
        <v>12</v>
      </c>
      <c r="D80" s="12"/>
      <c r="E80" s="12" t="str">
        <f>IFERROR(VLOOKUP(A80,#REF!,2,FALSE),"")</f>
        <v/>
      </c>
      <c r="F80" s="12" t="str">
        <f>IFERROR(VLOOKUP(B80,#REF!,2,FALSE),"")</f>
        <v/>
      </c>
      <c r="G80" s="12" t="str">
        <f>IFERROR(VLOOKUP(C80,#REF!,2,FALSE),"")</f>
        <v/>
      </c>
      <c r="H80" s="2"/>
      <c r="I80" s="2"/>
      <c r="J80" s="2"/>
    </row>
    <row r="81" spans="1:10" ht="16" x14ac:dyDescent="0.2">
      <c r="A81" s="12" t="s">
        <v>387</v>
      </c>
      <c r="B81" s="12" t="s">
        <v>48</v>
      </c>
      <c r="C81" s="12" t="s">
        <v>14</v>
      </c>
      <c r="D81" s="12"/>
      <c r="E81" s="12" t="str">
        <f>IFERROR(VLOOKUP(A81,#REF!,2,FALSE),"")</f>
        <v/>
      </c>
      <c r="F81" s="12" t="str">
        <f>IFERROR(VLOOKUP(B81,#REF!,2,FALSE),"")</f>
        <v/>
      </c>
      <c r="G81" s="12" t="str">
        <f>IFERROR(VLOOKUP(C81,#REF!,2,FALSE),"")</f>
        <v/>
      </c>
      <c r="H81" s="2"/>
      <c r="I81" s="2"/>
      <c r="J81" s="2"/>
    </row>
    <row r="82" spans="1:10" ht="16" x14ac:dyDescent="0.2">
      <c r="A82" s="5" t="s">
        <v>208</v>
      </c>
      <c r="B82" s="12" t="s">
        <v>53</v>
      </c>
      <c r="C82" s="12" t="s">
        <v>13</v>
      </c>
      <c r="D82" s="12"/>
      <c r="E82" s="12" t="str">
        <f>IFERROR(VLOOKUP(A82,#REF!,2,FALSE),"")</f>
        <v/>
      </c>
      <c r="F82" s="12" t="str">
        <f>IFERROR(VLOOKUP(B82,#REF!,2,FALSE),"")</f>
        <v/>
      </c>
      <c r="G82" s="12" t="str">
        <f>IFERROR(VLOOKUP(C82,#REF!,2,FALSE),"")</f>
        <v/>
      </c>
      <c r="H82" s="2"/>
      <c r="I82" s="2"/>
      <c r="J82" s="2"/>
    </row>
    <row r="83" spans="1:10" ht="16" x14ac:dyDescent="0.2">
      <c r="A83" s="12" t="s">
        <v>344</v>
      </c>
      <c r="B83" s="12" t="s">
        <v>66</v>
      </c>
      <c r="C83" s="12" t="s">
        <v>14</v>
      </c>
      <c r="D83" s="12"/>
      <c r="E83" s="12" t="str">
        <f>IFERROR(VLOOKUP(A83,#REF!,2,FALSE),"")</f>
        <v/>
      </c>
      <c r="F83" s="12" t="str">
        <f>IFERROR(VLOOKUP(B83,#REF!,2,FALSE),"")</f>
        <v/>
      </c>
      <c r="G83" s="12" t="str">
        <f>IFERROR(VLOOKUP(C83,#REF!,2,FALSE),"")</f>
        <v/>
      </c>
      <c r="H83" s="2"/>
      <c r="I83" s="2"/>
      <c r="J83" s="2"/>
    </row>
    <row r="84" spans="1:10" ht="16" x14ac:dyDescent="0.2">
      <c r="A84" s="5" t="s">
        <v>210</v>
      </c>
      <c r="B84" s="15" t="s">
        <v>63</v>
      </c>
      <c r="C84" s="12" t="s">
        <v>13</v>
      </c>
      <c r="D84" s="12"/>
      <c r="E84" s="12" t="str">
        <f>IFERROR(VLOOKUP(A84,#REF!,2,FALSE),"")</f>
        <v/>
      </c>
      <c r="F84" s="12" t="str">
        <f>IFERROR(VLOOKUP(B84,#REF!,2,FALSE),"")</f>
        <v/>
      </c>
      <c r="G84" s="12" t="str">
        <f>IFERROR(VLOOKUP(C84,#REF!,2,FALSE),"")</f>
        <v/>
      </c>
      <c r="H84" s="2"/>
      <c r="I84" s="2"/>
      <c r="J84" s="2"/>
    </row>
    <row r="85" spans="1:10" ht="16" x14ac:dyDescent="0.2">
      <c r="A85" s="12" t="s">
        <v>279</v>
      </c>
      <c r="B85" s="12" t="s">
        <v>69</v>
      </c>
      <c r="C85" s="12" t="s">
        <v>13</v>
      </c>
      <c r="D85" s="12"/>
      <c r="E85" s="12" t="str">
        <f>IFERROR(VLOOKUP(A85,#REF!,2,FALSE),"")</f>
        <v/>
      </c>
      <c r="F85" s="12" t="str">
        <f>IFERROR(VLOOKUP(B85,#REF!,2,FALSE),"")</f>
        <v/>
      </c>
      <c r="G85" s="12" t="str">
        <f>IFERROR(VLOOKUP(C85,#REF!,2,FALSE),"")</f>
        <v/>
      </c>
      <c r="H85" s="2"/>
      <c r="I85" s="2"/>
      <c r="J85" s="2"/>
    </row>
    <row r="86" spans="1:10" ht="16" x14ac:dyDescent="0.2">
      <c r="A86" s="12" t="s">
        <v>281</v>
      </c>
      <c r="B86" s="12" t="s">
        <v>62</v>
      </c>
      <c r="C86" s="12" t="s">
        <v>13</v>
      </c>
      <c r="D86" s="12"/>
      <c r="E86" s="12" t="str">
        <f>IFERROR(VLOOKUP(A86,#REF!,2,FALSE),"")</f>
        <v/>
      </c>
      <c r="F86" s="12" t="str">
        <f>IFERROR(VLOOKUP(B86,#REF!,2,FALSE),"")</f>
        <v/>
      </c>
      <c r="G86" s="12" t="str">
        <f>IFERROR(VLOOKUP(C86,#REF!,2,FALSE),"")</f>
        <v/>
      </c>
      <c r="H86" s="2"/>
      <c r="I86" s="2"/>
      <c r="J86" s="2"/>
    </row>
    <row r="87" spans="1:10" ht="16" x14ac:dyDescent="0.2">
      <c r="A87" s="12" t="s">
        <v>283</v>
      </c>
      <c r="B87" s="12" t="s">
        <v>126</v>
      </c>
      <c r="C87" s="12" t="s">
        <v>13</v>
      </c>
      <c r="D87" s="12"/>
      <c r="E87" s="12" t="str">
        <f>IFERROR(VLOOKUP(A87,#REF!,2,FALSE),"")</f>
        <v/>
      </c>
      <c r="F87" s="12" t="str">
        <f>IFERROR(VLOOKUP(B87,#REF!,2,FALSE),"")</f>
        <v/>
      </c>
      <c r="G87" s="12" t="str">
        <f>IFERROR(VLOOKUP(C87,#REF!,2,FALSE),"")</f>
        <v/>
      </c>
      <c r="H87" s="2"/>
      <c r="I87" s="2"/>
      <c r="J87" s="2"/>
    </row>
    <row r="88" spans="1:10" ht="16" x14ac:dyDescent="0.2">
      <c r="A88" s="12" t="s">
        <v>285</v>
      </c>
      <c r="B88" s="12" t="s">
        <v>127</v>
      </c>
      <c r="C88" s="12"/>
      <c r="D88" s="12"/>
      <c r="E88" s="12" t="str">
        <f>IFERROR(VLOOKUP(A88,#REF!,2,FALSE),"")</f>
        <v/>
      </c>
      <c r="F88" s="12" t="str">
        <f>IFERROR(VLOOKUP(B88,#REF!,2,FALSE),"")</f>
        <v/>
      </c>
      <c r="G88" s="12" t="str">
        <f>IFERROR(VLOOKUP(C88,#REF!,2,FALSE),"")</f>
        <v/>
      </c>
      <c r="H88" s="2"/>
      <c r="I88" s="2"/>
      <c r="J88" s="2"/>
    </row>
    <row r="89" spans="1:10" ht="16" x14ac:dyDescent="0.2">
      <c r="A89" s="12" t="s">
        <v>246</v>
      </c>
      <c r="B89" s="12" t="s">
        <v>63</v>
      </c>
      <c r="C89" s="12" t="s">
        <v>14</v>
      </c>
      <c r="D89" s="12"/>
      <c r="E89" s="12" t="str">
        <f>IFERROR(VLOOKUP(A89,#REF!,2,FALSE),"")</f>
        <v/>
      </c>
      <c r="F89" s="12" t="str">
        <f>IFERROR(VLOOKUP(B89,#REF!,2,FALSE),"")</f>
        <v/>
      </c>
      <c r="G89" s="12" t="str">
        <f>IFERROR(VLOOKUP(C89,#REF!,2,FALSE),"")</f>
        <v/>
      </c>
      <c r="H89" s="2"/>
      <c r="I89" s="2"/>
      <c r="J89" s="2"/>
    </row>
    <row r="90" spans="1:10" ht="16" x14ac:dyDescent="0.2">
      <c r="A90" s="5" t="s">
        <v>246</v>
      </c>
      <c r="B90" s="12" t="s">
        <v>49</v>
      </c>
      <c r="C90" s="12" t="s">
        <v>13</v>
      </c>
      <c r="D90" s="12"/>
      <c r="E90" s="12" t="str">
        <f>IFERROR(VLOOKUP(A90,#REF!,2,FALSE),"")</f>
        <v/>
      </c>
      <c r="F90" s="12" t="str">
        <f>IFERROR(VLOOKUP(B90,#REF!,2,FALSE),"")</f>
        <v/>
      </c>
      <c r="G90" s="12" t="str">
        <f>IFERROR(VLOOKUP(C90,#REF!,2,FALSE),"")</f>
        <v/>
      </c>
      <c r="H90" s="2"/>
      <c r="I90" s="2"/>
      <c r="J90" s="2"/>
    </row>
    <row r="91" spans="1:10" ht="16" x14ac:dyDescent="0.2">
      <c r="A91" s="12" t="s">
        <v>287</v>
      </c>
      <c r="B91" s="14" t="s">
        <v>61</v>
      </c>
      <c r="C91" s="12" t="s">
        <v>13</v>
      </c>
      <c r="D91" s="12"/>
      <c r="E91" s="12" t="str">
        <f>IFERROR(VLOOKUP(A91,#REF!,2,FALSE),"")</f>
        <v/>
      </c>
      <c r="F91" s="12" t="str">
        <f>IFERROR(VLOOKUP(B91,#REF!,2,FALSE),"")</f>
        <v/>
      </c>
      <c r="G91" s="12" t="str">
        <f>IFERROR(VLOOKUP(C91,#REF!,2,FALSE),"")</f>
        <v/>
      </c>
      <c r="H91" s="2"/>
      <c r="I91" s="2"/>
      <c r="J91" s="2"/>
    </row>
    <row r="92" spans="1:10" ht="16" x14ac:dyDescent="0.2">
      <c r="A92" s="5" t="s">
        <v>120</v>
      </c>
      <c r="B92" s="12" t="s">
        <v>60</v>
      </c>
      <c r="C92" s="12" t="s">
        <v>12</v>
      </c>
      <c r="D92" s="12"/>
      <c r="E92" s="12" t="str">
        <f>IFERROR(VLOOKUP(A92,#REF!,2,FALSE),"")</f>
        <v/>
      </c>
      <c r="F92" s="12" t="str">
        <f>IFERROR(VLOOKUP(B92,#REF!,2,FALSE),"")</f>
        <v/>
      </c>
      <c r="G92" s="12" t="str">
        <f>IFERROR(VLOOKUP(C92,#REF!,2,FALSE),"")</f>
        <v/>
      </c>
      <c r="H92" s="2"/>
      <c r="I92" s="2"/>
      <c r="J92" s="2"/>
    </row>
    <row r="93" spans="1:10" ht="16" x14ac:dyDescent="0.2">
      <c r="A93" s="17" t="s">
        <v>376</v>
      </c>
      <c r="B93" s="12" t="s">
        <v>51</v>
      </c>
      <c r="C93" s="12" t="s">
        <v>15</v>
      </c>
      <c r="D93" s="12"/>
      <c r="E93" s="12" t="str">
        <f>IFERROR(VLOOKUP(A93,#REF!,2,FALSE),"")</f>
        <v/>
      </c>
      <c r="F93" s="12" t="str">
        <f>IFERROR(VLOOKUP(B93,#REF!,2,FALSE),"")</f>
        <v/>
      </c>
      <c r="G93" s="12" t="str">
        <f>IFERROR(VLOOKUP(C93,#REF!,2,FALSE),"")</f>
        <v/>
      </c>
      <c r="H93" s="2"/>
      <c r="I93" s="2"/>
      <c r="J93" s="2"/>
    </row>
    <row r="94" spans="1:10" ht="16" x14ac:dyDescent="0.2">
      <c r="A94" s="5" t="s">
        <v>212</v>
      </c>
      <c r="B94" s="15" t="s">
        <v>53</v>
      </c>
      <c r="C94" s="12" t="s">
        <v>14</v>
      </c>
      <c r="D94" s="12"/>
      <c r="E94" s="12" t="str">
        <f>IFERROR(VLOOKUP(A94,#REF!,2,FALSE),"")</f>
        <v/>
      </c>
      <c r="F94" s="12" t="str">
        <f>IFERROR(VLOOKUP(B94,#REF!,2,FALSE),"")</f>
        <v/>
      </c>
      <c r="G94" s="12" t="str">
        <f>IFERROR(VLOOKUP(C94,#REF!,2,FALSE),"")</f>
        <v/>
      </c>
      <c r="H94" s="2"/>
      <c r="I94" s="2"/>
      <c r="J94" s="2"/>
    </row>
    <row r="95" spans="1:10" ht="16" x14ac:dyDescent="0.2">
      <c r="A95" s="12" t="s">
        <v>289</v>
      </c>
      <c r="B95" s="12" t="s">
        <v>64</v>
      </c>
      <c r="C95" s="12" t="s">
        <v>13</v>
      </c>
      <c r="D95" s="12"/>
      <c r="E95" s="12" t="str">
        <f>IFERROR(VLOOKUP(A95,#REF!,2,FALSE),"")</f>
        <v/>
      </c>
      <c r="F95" s="12" t="str">
        <f>IFERROR(VLOOKUP(B95,#REF!,2,FALSE),"")</f>
        <v/>
      </c>
      <c r="G95" s="12" t="str">
        <f>IFERROR(VLOOKUP(C95,#REF!,2,FALSE),"")</f>
        <v/>
      </c>
      <c r="H95" s="2"/>
      <c r="I95" s="2"/>
      <c r="J95" s="2"/>
    </row>
    <row r="96" spans="1:10" ht="16" x14ac:dyDescent="0.2">
      <c r="A96" s="5" t="s">
        <v>24</v>
      </c>
      <c r="B96" s="12" t="s">
        <v>125</v>
      </c>
      <c r="C96" s="12" t="s">
        <v>12</v>
      </c>
      <c r="D96" s="12"/>
      <c r="E96" s="12" t="str">
        <f>IFERROR(VLOOKUP(A96,#REF!,2,FALSE),"")</f>
        <v/>
      </c>
      <c r="F96" s="12" t="str">
        <f>IFERROR(VLOOKUP(B96,#REF!,2,FALSE),"")</f>
        <v/>
      </c>
      <c r="G96" s="12" t="str">
        <f>IFERROR(VLOOKUP(C96,#REF!,2,FALSE),"")</f>
        <v/>
      </c>
      <c r="H96" s="2"/>
      <c r="I96" s="2"/>
      <c r="J96" s="2"/>
    </row>
    <row r="97" spans="1:10" ht="16" x14ac:dyDescent="0.2">
      <c r="A97" s="5" t="s">
        <v>158</v>
      </c>
      <c r="B97" s="12" t="s">
        <v>52</v>
      </c>
      <c r="C97" s="12" t="s">
        <v>13</v>
      </c>
      <c r="D97" s="12"/>
      <c r="E97" s="12" t="str">
        <f>IFERROR(VLOOKUP(A97,#REF!,2,FALSE),"")</f>
        <v/>
      </c>
      <c r="F97" s="12" t="str">
        <f>IFERROR(VLOOKUP(B97,#REF!,2,FALSE),"")</f>
        <v/>
      </c>
      <c r="G97" s="12" t="str">
        <f>IFERROR(VLOOKUP(C97,#REF!,2,FALSE),"")</f>
        <v/>
      </c>
      <c r="H97" s="2"/>
      <c r="I97" s="2"/>
      <c r="J97" s="2"/>
    </row>
    <row r="98" spans="1:10" ht="16" x14ac:dyDescent="0.2">
      <c r="A98" s="5" t="s">
        <v>122</v>
      </c>
      <c r="B98" s="12" t="s">
        <v>66</v>
      </c>
      <c r="C98" s="12" t="s">
        <v>12</v>
      </c>
      <c r="D98" s="12"/>
      <c r="E98" s="12" t="str">
        <f>IFERROR(VLOOKUP(A98,#REF!,2,FALSE),"")</f>
        <v/>
      </c>
      <c r="F98" s="12" t="str">
        <f>IFERROR(VLOOKUP(B98,#REF!,2,FALSE),"")</f>
        <v/>
      </c>
      <c r="G98" s="12" t="str">
        <f>IFERROR(VLOOKUP(C98,#REF!,2,FALSE),"")</f>
        <v/>
      </c>
      <c r="H98" s="2"/>
      <c r="I98" s="2"/>
      <c r="J98" s="2"/>
    </row>
    <row r="99" spans="1:10" ht="16" x14ac:dyDescent="0.2">
      <c r="A99" s="16" t="s">
        <v>160</v>
      </c>
      <c r="B99" s="12" t="s">
        <v>66</v>
      </c>
      <c r="C99" s="12" t="s">
        <v>13</v>
      </c>
      <c r="D99" s="12"/>
      <c r="E99" s="12" t="str">
        <f>IFERROR(VLOOKUP(A99,#REF!,2,FALSE),"")</f>
        <v/>
      </c>
      <c r="F99" s="12" t="str">
        <f>IFERROR(VLOOKUP(B99,#REF!,2,FALSE),"")</f>
        <v/>
      </c>
      <c r="G99" s="12" t="str">
        <f>IFERROR(VLOOKUP(C99,#REF!,2,FALSE),"")</f>
        <v/>
      </c>
      <c r="H99" s="2"/>
      <c r="I99" s="2"/>
      <c r="J99" s="2"/>
    </row>
    <row r="100" spans="1:10" ht="16" x14ac:dyDescent="0.2">
      <c r="A100" s="12" t="s">
        <v>291</v>
      </c>
      <c r="B100" s="12" t="s">
        <v>398</v>
      </c>
      <c r="C100" s="12"/>
      <c r="D100" s="12"/>
      <c r="E100" s="12" t="str">
        <f>IFERROR(VLOOKUP(A100,#REF!,2,FALSE),"")</f>
        <v/>
      </c>
      <c r="F100" s="12" t="str">
        <f>IFERROR(VLOOKUP(B100,#REF!,2,FALSE),"")</f>
        <v/>
      </c>
      <c r="G100" s="12" t="str">
        <f>IFERROR(VLOOKUP(C100,#REF!,2,FALSE),"")</f>
        <v/>
      </c>
      <c r="H100" s="2"/>
      <c r="I100" s="2"/>
      <c r="J100" s="2"/>
    </row>
    <row r="101" spans="1:10" ht="16" x14ac:dyDescent="0.2">
      <c r="A101" s="12" t="s">
        <v>346</v>
      </c>
      <c r="B101" s="12" t="s">
        <v>67</v>
      </c>
      <c r="C101" s="12" t="s">
        <v>14</v>
      </c>
      <c r="D101" s="12"/>
      <c r="E101" s="12" t="str">
        <f>IFERROR(VLOOKUP(A101,#REF!,2,FALSE),"")</f>
        <v/>
      </c>
      <c r="F101" s="12" t="str">
        <f>IFERROR(VLOOKUP(B101,#REF!,2,FALSE),"")</f>
        <v/>
      </c>
      <c r="G101" s="12" t="str">
        <f>IFERROR(VLOOKUP(C101,#REF!,2,FALSE),"")</f>
        <v/>
      </c>
      <c r="H101" s="2"/>
      <c r="I101" s="2"/>
      <c r="J101" s="2"/>
    </row>
    <row r="102" spans="1:10" ht="16" x14ac:dyDescent="0.2">
      <c r="A102" s="18" t="s">
        <v>214</v>
      </c>
      <c r="B102" s="12" t="s">
        <v>59</v>
      </c>
      <c r="C102" s="12" t="s">
        <v>13</v>
      </c>
      <c r="D102" s="12"/>
      <c r="E102" s="12" t="str">
        <f>IFERROR(VLOOKUP(A102,#REF!,2,FALSE),"")</f>
        <v/>
      </c>
      <c r="F102" s="12" t="str">
        <f>IFERROR(VLOOKUP(B102,#REF!,2,FALSE),"")</f>
        <v/>
      </c>
      <c r="G102" s="12" t="str">
        <f>IFERROR(VLOOKUP(C102,#REF!,2,FALSE),"")</f>
        <v/>
      </c>
      <c r="H102" s="2"/>
      <c r="I102" s="2"/>
      <c r="J102" s="2"/>
    </row>
    <row r="103" spans="1:10" ht="16" x14ac:dyDescent="0.2">
      <c r="A103" s="19" t="s">
        <v>216</v>
      </c>
      <c r="B103" s="12" t="s">
        <v>49</v>
      </c>
      <c r="C103" s="12" t="s">
        <v>13</v>
      </c>
      <c r="D103" s="12"/>
      <c r="E103" s="12"/>
      <c r="F103" s="12"/>
      <c r="G103" s="12"/>
      <c r="H103" s="2"/>
      <c r="I103" s="2"/>
      <c r="J103" s="2"/>
    </row>
    <row r="104" spans="1:10" ht="16" x14ac:dyDescent="0.2">
      <c r="A104" s="19" t="s">
        <v>216</v>
      </c>
      <c r="B104" s="12" t="s">
        <v>47</v>
      </c>
      <c r="C104" s="12" t="s">
        <v>13</v>
      </c>
      <c r="D104" s="12"/>
      <c r="E104" s="12" t="str">
        <f>IFERROR(VLOOKUP(A104,#REF!,2,FALSE),"")</f>
        <v/>
      </c>
      <c r="F104" s="12" t="str">
        <f>IFERROR(VLOOKUP(B104,#REF!,2,FALSE),"")</f>
        <v/>
      </c>
      <c r="G104" s="12" t="str">
        <f>IFERROR(VLOOKUP(C104,#REF!,2,FALSE),"")</f>
        <v/>
      </c>
      <c r="H104" s="2"/>
      <c r="I104" s="2"/>
      <c r="J104" s="2"/>
    </row>
    <row r="105" spans="1:10" ht="16" x14ac:dyDescent="0.2">
      <c r="A105" s="5" t="s">
        <v>164</v>
      </c>
      <c r="B105" s="12" t="s">
        <v>68</v>
      </c>
      <c r="C105" s="12" t="s">
        <v>13</v>
      </c>
      <c r="D105" s="12"/>
      <c r="E105" s="12" t="str">
        <f>IFERROR(VLOOKUP(A105,#REF!,2,FALSE),"")</f>
        <v/>
      </c>
      <c r="F105" s="12" t="str">
        <f>IFERROR(VLOOKUP(B105,#REF!,2,FALSE),"")</f>
        <v/>
      </c>
      <c r="G105" s="12" t="str">
        <f>IFERROR(VLOOKUP(C105,#REF!,2,FALSE),"")</f>
        <v/>
      </c>
      <c r="H105" s="2"/>
      <c r="I105" s="2"/>
      <c r="J105" s="2"/>
    </row>
    <row r="106" spans="1:10" ht="16" x14ac:dyDescent="0.2">
      <c r="A106" s="11" t="s">
        <v>365</v>
      </c>
      <c r="B106" s="12" t="s">
        <v>59</v>
      </c>
      <c r="C106" s="12" t="s">
        <v>13</v>
      </c>
      <c r="D106" s="12"/>
      <c r="E106" s="12" t="str">
        <f>IFERROR(VLOOKUP(A106,#REF!,2,FALSE),"")</f>
        <v/>
      </c>
      <c r="F106" s="12" t="str">
        <f>IFERROR(VLOOKUP(B106,#REF!,2,FALSE),"")</f>
        <v/>
      </c>
      <c r="G106" s="12" t="str">
        <f>IFERROR(VLOOKUP(C106,#REF!,2,FALSE),"")</f>
        <v/>
      </c>
      <c r="H106" s="2"/>
      <c r="I106" s="2"/>
      <c r="J106" s="2"/>
    </row>
    <row r="107" spans="1:10" ht="16" x14ac:dyDescent="0.2">
      <c r="A107" s="12" t="s">
        <v>293</v>
      </c>
      <c r="B107" s="12" t="s">
        <v>63</v>
      </c>
      <c r="C107" s="12" t="s">
        <v>13</v>
      </c>
      <c r="D107" s="12"/>
      <c r="E107" s="12" t="str">
        <f>IFERROR(VLOOKUP(A107,#REF!,2,FALSE),"")</f>
        <v/>
      </c>
      <c r="F107" s="12" t="str">
        <f>IFERROR(VLOOKUP(B107,#REF!,2,FALSE),"")</f>
        <v/>
      </c>
      <c r="G107" s="12" t="str">
        <f>IFERROR(VLOOKUP(C107,#REF!,2,FALSE),"")</f>
        <v/>
      </c>
      <c r="H107" s="2"/>
      <c r="I107" s="2"/>
      <c r="J107" s="2"/>
    </row>
    <row r="108" spans="1:10" ht="16" x14ac:dyDescent="0.2">
      <c r="A108" s="5" t="s">
        <v>36</v>
      </c>
      <c r="B108" s="14" t="s">
        <v>63</v>
      </c>
      <c r="C108" s="12" t="s">
        <v>12</v>
      </c>
      <c r="D108" s="12"/>
      <c r="E108" s="12" t="str">
        <f>IFERROR(VLOOKUP(A108,#REF!,2,FALSE),"")</f>
        <v/>
      </c>
      <c r="F108" s="12" t="str">
        <f>IFERROR(VLOOKUP(B108,#REF!,2,FALSE),"")</f>
        <v/>
      </c>
      <c r="G108" s="12" t="str">
        <f>IFERROR(VLOOKUP(C108,#REF!,2,FALSE),"")</f>
        <v/>
      </c>
      <c r="H108" s="2"/>
      <c r="I108" s="2"/>
      <c r="J108" s="2"/>
    </row>
    <row r="109" spans="1:10" ht="16" x14ac:dyDescent="0.2">
      <c r="A109" s="8" t="s">
        <v>368</v>
      </c>
      <c r="B109" s="12" t="s">
        <v>54</v>
      </c>
      <c r="C109" s="12" t="s">
        <v>15</v>
      </c>
      <c r="D109" s="12"/>
      <c r="E109" s="12" t="str">
        <f>IFERROR(VLOOKUP(A109,#REF!,2,FALSE),"")</f>
        <v/>
      </c>
      <c r="F109" s="12" t="str">
        <f>IFERROR(VLOOKUP(B109,#REF!,2,FALSE),"")</f>
        <v/>
      </c>
      <c r="G109" s="12" t="str">
        <f>IFERROR(VLOOKUP(C109,#REF!,2,FALSE),"")</f>
        <v/>
      </c>
      <c r="H109" s="2"/>
      <c r="I109" s="2"/>
      <c r="J109" s="2"/>
    </row>
    <row r="110" spans="1:10" ht="16" x14ac:dyDescent="0.2">
      <c r="A110" s="12" t="s">
        <v>362</v>
      </c>
      <c r="B110" s="12" t="s">
        <v>60</v>
      </c>
      <c r="C110" s="12" t="s">
        <v>15</v>
      </c>
      <c r="D110" s="12"/>
      <c r="E110" s="12" t="str">
        <f>IFERROR(VLOOKUP(A110,#REF!,2,FALSE),"")</f>
        <v/>
      </c>
      <c r="F110" s="12" t="str">
        <f>IFERROR(VLOOKUP(B110,#REF!,2,FALSE),"")</f>
        <v/>
      </c>
      <c r="G110" s="12" t="str">
        <f>IFERROR(VLOOKUP(C110,#REF!,2,FALSE),"")</f>
        <v/>
      </c>
      <c r="H110" s="2"/>
      <c r="I110" s="2"/>
      <c r="J110" s="2"/>
    </row>
    <row r="111" spans="1:10" ht="16" x14ac:dyDescent="0.2">
      <c r="A111" s="12" t="s">
        <v>295</v>
      </c>
      <c r="B111" s="12" t="s">
        <v>126</v>
      </c>
      <c r="C111" s="12" t="s">
        <v>13</v>
      </c>
      <c r="D111" s="12"/>
      <c r="E111" s="12" t="str">
        <f>IFERROR(VLOOKUP(A111,#REF!,2,FALSE),"")</f>
        <v/>
      </c>
      <c r="F111" s="12" t="str">
        <f>IFERROR(VLOOKUP(B111,#REF!,2,FALSE),"")</f>
        <v/>
      </c>
      <c r="G111" s="12" t="str">
        <f>IFERROR(VLOOKUP(C111,#REF!,2,FALSE),"")</f>
        <v/>
      </c>
      <c r="H111" s="2"/>
      <c r="I111" s="2"/>
      <c r="J111" s="2"/>
    </row>
    <row r="112" spans="1:10" ht="16" x14ac:dyDescent="0.2">
      <c r="A112" s="20" t="s">
        <v>37</v>
      </c>
      <c r="B112" s="12" t="s">
        <v>64</v>
      </c>
      <c r="C112" s="12" t="s">
        <v>12</v>
      </c>
      <c r="D112" s="12"/>
      <c r="E112" s="12" t="str">
        <f>IFERROR(VLOOKUP(A112,#REF!,2,FALSE),"")</f>
        <v/>
      </c>
      <c r="F112" s="12" t="str">
        <f>IFERROR(VLOOKUP(B112,#REF!,2,FALSE),"")</f>
        <v/>
      </c>
      <c r="G112" s="12" t="str">
        <f>IFERROR(VLOOKUP(C112,#REF!,2,FALSE),"")</f>
        <v/>
      </c>
      <c r="H112" s="2"/>
      <c r="I112" s="2"/>
      <c r="J112" s="2"/>
    </row>
    <row r="113" spans="1:10" ht="16" x14ac:dyDescent="0.2">
      <c r="A113" s="12" t="s">
        <v>417</v>
      </c>
      <c r="B113" s="12" t="s">
        <v>404</v>
      </c>
      <c r="C113" s="12" t="s">
        <v>14</v>
      </c>
      <c r="D113" s="12"/>
      <c r="E113" s="12" t="str">
        <f>IFERROR(VLOOKUP(A113,#REF!,2,FALSE),"")</f>
        <v/>
      </c>
      <c r="F113" s="12" t="str">
        <f>IFERROR(VLOOKUP(B113,#REF!,2,FALSE),"")</f>
        <v/>
      </c>
      <c r="G113" s="12" t="str">
        <f>IFERROR(VLOOKUP(C113,#REF!,2,FALSE),"")</f>
        <v/>
      </c>
      <c r="H113" s="2"/>
      <c r="I113" s="2"/>
      <c r="J113" s="2"/>
    </row>
    <row r="114" spans="1:10" ht="16" x14ac:dyDescent="0.2">
      <c r="A114" s="12" t="s">
        <v>297</v>
      </c>
      <c r="B114" s="13" t="s">
        <v>61</v>
      </c>
      <c r="C114" s="12" t="s">
        <v>13</v>
      </c>
      <c r="D114" s="12"/>
      <c r="E114" s="12" t="str">
        <f>IFERROR(VLOOKUP(A114,#REF!,2,FALSE),"")</f>
        <v/>
      </c>
      <c r="F114" s="12" t="str">
        <f>IFERROR(VLOOKUP(B114,#REF!,2,FALSE),"")</f>
        <v/>
      </c>
      <c r="G114" s="12" t="str">
        <f>IFERROR(VLOOKUP(C114,#REF!,2,FALSE),"")</f>
        <v/>
      </c>
      <c r="H114" s="2"/>
      <c r="I114" s="2"/>
      <c r="J114" s="2"/>
    </row>
    <row r="115" spans="1:10" ht="16" x14ac:dyDescent="0.2">
      <c r="A115" s="12" t="s">
        <v>416</v>
      </c>
      <c r="B115" s="12" t="s">
        <v>403</v>
      </c>
      <c r="C115" s="12" t="s">
        <v>14</v>
      </c>
      <c r="D115" s="12"/>
      <c r="E115" s="12" t="str">
        <f>IFERROR(VLOOKUP(A115,#REF!,2,FALSE),"")</f>
        <v/>
      </c>
      <c r="F115" s="12" t="str">
        <f>IFERROR(VLOOKUP(B115,#REF!,2,FALSE),"")</f>
        <v/>
      </c>
      <c r="G115" s="12" t="str">
        <f>IFERROR(VLOOKUP(C115,#REF!,2,FALSE),"")</f>
        <v/>
      </c>
      <c r="H115" s="2"/>
      <c r="I115" s="2"/>
      <c r="J115" s="2"/>
    </row>
    <row r="116" spans="1:10" ht="16" x14ac:dyDescent="0.2">
      <c r="A116" s="20" t="s">
        <v>25</v>
      </c>
      <c r="B116" s="13" t="s">
        <v>49</v>
      </c>
      <c r="C116" s="12" t="s">
        <v>12</v>
      </c>
      <c r="D116" s="12"/>
      <c r="E116" s="12" t="str">
        <f>IFERROR(VLOOKUP(A116,#REF!,2,FALSE),"")</f>
        <v/>
      </c>
      <c r="F116" s="12" t="str">
        <f>IFERROR(VLOOKUP(B116,#REF!,2,FALSE),"")</f>
        <v/>
      </c>
      <c r="G116" s="12" t="str">
        <f>IFERROR(VLOOKUP(C116,#REF!,2,FALSE),"")</f>
        <v/>
      </c>
      <c r="H116" s="2"/>
      <c r="I116" s="2"/>
      <c r="J116" s="2"/>
    </row>
    <row r="117" spans="1:10" ht="16" x14ac:dyDescent="0.2">
      <c r="A117" s="12" t="s">
        <v>410</v>
      </c>
      <c r="B117" s="12" t="s">
        <v>407</v>
      </c>
      <c r="C117" s="12" t="s">
        <v>15</v>
      </c>
      <c r="D117" s="12"/>
      <c r="E117" s="12" t="str">
        <f>IFERROR(VLOOKUP(A117,#REF!,2,FALSE),"")</f>
        <v/>
      </c>
      <c r="F117" s="12" t="str">
        <f>IFERROR(VLOOKUP(B117,#REF!,2,FALSE),"")</f>
        <v/>
      </c>
      <c r="G117" s="12" t="str">
        <f>IFERROR(VLOOKUP(C117,#REF!,2,FALSE),"")</f>
        <v/>
      </c>
      <c r="H117" s="2"/>
      <c r="I117" s="2"/>
      <c r="J117" s="2"/>
    </row>
    <row r="118" spans="1:10" ht="16" x14ac:dyDescent="0.2">
      <c r="A118" s="25" t="s">
        <v>410</v>
      </c>
      <c r="B118" s="12" t="s">
        <v>406</v>
      </c>
      <c r="C118" s="12" t="s">
        <v>15</v>
      </c>
      <c r="D118" s="12"/>
      <c r="E118" s="12" t="str">
        <f>IFERROR(VLOOKUP(A118,#REF!,2,FALSE),"")</f>
        <v/>
      </c>
      <c r="F118" s="12" t="str">
        <f>IFERROR(VLOOKUP(B118,#REF!,2,FALSE),"")</f>
        <v/>
      </c>
      <c r="G118" s="12" t="str">
        <f>IFERROR(VLOOKUP(C118,#REF!,2,FALSE),"")</f>
        <v/>
      </c>
      <c r="H118" s="2"/>
      <c r="I118" s="2"/>
      <c r="J118" s="2"/>
    </row>
    <row r="119" spans="1:10" ht="16" x14ac:dyDescent="0.2">
      <c r="A119" s="8" t="s">
        <v>369</v>
      </c>
      <c r="B119" s="12" t="s">
        <v>55</v>
      </c>
      <c r="C119" s="12" t="s">
        <v>15</v>
      </c>
      <c r="D119" s="12"/>
      <c r="E119" s="12" t="str">
        <f>IFERROR(VLOOKUP(A119,#REF!,2,FALSE),"")</f>
        <v/>
      </c>
      <c r="F119" s="12" t="str">
        <f>IFERROR(VLOOKUP(B119,#REF!,2,FALSE),"")</f>
        <v/>
      </c>
      <c r="G119" s="12" t="str">
        <f>IFERROR(VLOOKUP(C119,#REF!,2,FALSE),"")</f>
        <v/>
      </c>
      <c r="H119" s="2"/>
      <c r="I119" s="2"/>
      <c r="J119" s="2"/>
    </row>
    <row r="120" spans="1:10" ht="16" x14ac:dyDescent="0.2">
      <c r="A120" s="8" t="s">
        <v>369</v>
      </c>
      <c r="B120" s="12" t="s">
        <v>48</v>
      </c>
      <c r="C120" s="12" t="s">
        <v>15</v>
      </c>
      <c r="D120" s="12"/>
      <c r="E120" s="12" t="str">
        <f>IFERROR(VLOOKUP(A120,#REF!,2,FALSE),"")</f>
        <v/>
      </c>
      <c r="F120" s="12" t="str">
        <f>IFERROR(VLOOKUP(B120,#REF!,2,FALSE),"")</f>
        <v/>
      </c>
      <c r="G120" s="12" t="str">
        <f>IFERROR(VLOOKUP(C120,#REF!,2,FALSE),"")</f>
        <v/>
      </c>
      <c r="H120" s="2"/>
      <c r="I120" s="2"/>
      <c r="J120" s="2"/>
    </row>
    <row r="121" spans="1:10" ht="16" x14ac:dyDescent="0.2">
      <c r="A121" s="8" t="s">
        <v>369</v>
      </c>
      <c r="B121" s="12" t="s">
        <v>125</v>
      </c>
      <c r="C121" s="12" t="s">
        <v>15</v>
      </c>
      <c r="D121" s="12"/>
      <c r="E121" s="12" t="str">
        <f>IFERROR(VLOOKUP(A121,#REF!,2,FALSE),"")</f>
        <v/>
      </c>
      <c r="F121" s="12" t="str">
        <f>IFERROR(VLOOKUP(B121,#REF!,2,FALSE),"")</f>
        <v/>
      </c>
      <c r="G121" s="12" t="str">
        <f>IFERROR(VLOOKUP(C121,#REF!,2,FALSE),"")</f>
        <v/>
      </c>
      <c r="H121" s="2"/>
      <c r="I121" s="2"/>
      <c r="J121" s="2"/>
    </row>
    <row r="122" spans="1:10" ht="16" x14ac:dyDescent="0.2">
      <c r="A122" s="5" t="s">
        <v>218</v>
      </c>
      <c r="B122" s="12" t="s">
        <v>53</v>
      </c>
      <c r="C122" s="12" t="s">
        <v>13</v>
      </c>
      <c r="D122" s="12"/>
      <c r="E122" s="12" t="str">
        <f>IFERROR(VLOOKUP(A122,#REF!,2,FALSE),"")</f>
        <v/>
      </c>
      <c r="F122" s="12" t="str">
        <f>IFERROR(VLOOKUP(B122,#REF!,2,FALSE),"")</f>
        <v/>
      </c>
      <c r="G122" s="12" t="str">
        <f>IFERROR(VLOOKUP(C122,#REF!,2,FALSE),"")</f>
        <v/>
      </c>
      <c r="H122" s="2"/>
      <c r="I122" s="2"/>
      <c r="J122" s="2"/>
    </row>
    <row r="123" spans="1:10" ht="16" x14ac:dyDescent="0.2">
      <c r="A123" s="12" t="s">
        <v>299</v>
      </c>
      <c r="B123" s="12" t="s">
        <v>398</v>
      </c>
      <c r="C123" s="12" t="s">
        <v>13</v>
      </c>
      <c r="D123" s="12"/>
      <c r="E123" s="12" t="str">
        <f>IFERROR(VLOOKUP(A123,#REF!,2,FALSE),"")</f>
        <v/>
      </c>
      <c r="F123" s="12" t="str">
        <f>IFERROR(VLOOKUP(B123,#REF!,2,FALSE),"")</f>
        <v/>
      </c>
      <c r="G123" s="12" t="str">
        <f>IFERROR(VLOOKUP(C123,#REF!,2,FALSE),"")</f>
        <v/>
      </c>
      <c r="H123" s="2"/>
      <c r="I123" s="2"/>
      <c r="J123" s="2"/>
    </row>
    <row r="124" spans="1:10" ht="16" x14ac:dyDescent="0.2">
      <c r="A124" s="12" t="s">
        <v>389</v>
      </c>
      <c r="B124" s="14" t="s">
        <v>125</v>
      </c>
      <c r="C124" s="12" t="s">
        <v>13</v>
      </c>
      <c r="D124" s="12"/>
      <c r="E124" s="12" t="str">
        <f>IFERROR(VLOOKUP(A124,#REF!,2,FALSE),"")</f>
        <v/>
      </c>
      <c r="F124" s="12" t="str">
        <f>IFERROR(VLOOKUP(B124,#REF!,2,FALSE),"")</f>
        <v/>
      </c>
      <c r="G124" s="12" t="str">
        <f>IFERROR(VLOOKUP(C124,#REF!,2,FALSE),"")</f>
        <v/>
      </c>
      <c r="H124" s="2"/>
      <c r="I124" s="2"/>
      <c r="J124" s="2"/>
    </row>
    <row r="125" spans="1:10" ht="16" x14ac:dyDescent="0.2">
      <c r="A125" s="5" t="s">
        <v>248</v>
      </c>
      <c r="B125" s="12" t="s">
        <v>47</v>
      </c>
      <c r="C125" s="12" t="s">
        <v>13</v>
      </c>
      <c r="D125" s="12"/>
      <c r="E125" s="12" t="str">
        <f>IFERROR(VLOOKUP(A125,#REF!,2,FALSE),"")</f>
        <v/>
      </c>
      <c r="F125" s="12" t="str">
        <f>IFERROR(VLOOKUP(B125,#REF!,2,FALSE),"")</f>
        <v/>
      </c>
      <c r="G125" s="12" t="str">
        <f>IFERROR(VLOOKUP(C125,#REF!,2,FALSE),"")</f>
        <v/>
      </c>
      <c r="H125" s="2"/>
      <c r="I125" s="2"/>
      <c r="J125" s="2"/>
    </row>
    <row r="126" spans="1:10" ht="16" x14ac:dyDescent="0.2">
      <c r="A126" s="12" t="s">
        <v>301</v>
      </c>
      <c r="B126" s="14" t="s">
        <v>61</v>
      </c>
      <c r="C126" s="12" t="s">
        <v>13</v>
      </c>
      <c r="D126" s="12"/>
      <c r="E126" s="12" t="str">
        <f>IFERROR(VLOOKUP(A126,#REF!,2,FALSE),"")</f>
        <v/>
      </c>
      <c r="F126" s="12" t="str">
        <f>IFERROR(VLOOKUP(B126,#REF!,2,FALSE),"")</f>
        <v/>
      </c>
      <c r="G126" s="12" t="str">
        <f>IFERROR(VLOOKUP(C126,#REF!,2,FALSE),"")</f>
        <v/>
      </c>
      <c r="H126" s="2"/>
      <c r="I126" s="2"/>
      <c r="J126" s="2"/>
    </row>
    <row r="127" spans="1:10" ht="16" x14ac:dyDescent="0.2">
      <c r="A127" s="5" t="s">
        <v>31</v>
      </c>
      <c r="B127" s="12" t="s">
        <v>55</v>
      </c>
      <c r="C127" s="12" t="s">
        <v>12</v>
      </c>
      <c r="D127" s="12"/>
      <c r="E127" s="12" t="str">
        <f>IFERROR(VLOOKUP(A127,#REF!,2,FALSE),"")</f>
        <v/>
      </c>
      <c r="F127" s="12" t="str">
        <f>IFERROR(VLOOKUP(B127,#REF!,2,FALSE),"")</f>
        <v/>
      </c>
      <c r="G127" s="12" t="str">
        <f>IFERROR(VLOOKUP(C127,#REF!,2,FALSE),"")</f>
        <v/>
      </c>
      <c r="H127" s="2"/>
      <c r="I127" s="2"/>
      <c r="J127" s="2"/>
    </row>
    <row r="128" spans="1:10" ht="16" x14ac:dyDescent="0.2">
      <c r="A128" s="5" t="s">
        <v>220</v>
      </c>
      <c r="B128" s="12" t="s">
        <v>45</v>
      </c>
      <c r="C128" s="12" t="s">
        <v>13</v>
      </c>
      <c r="D128" s="12"/>
      <c r="E128" s="12" t="str">
        <f>IFERROR(VLOOKUP(A128,#REF!,2,FALSE),"")</f>
        <v/>
      </c>
      <c r="F128" s="12" t="str">
        <f>IFERROR(VLOOKUP(B128,#REF!,2,FALSE),"")</f>
        <v/>
      </c>
      <c r="G128" s="12" t="str">
        <f>IFERROR(VLOOKUP(C128,#REF!,2,FALSE),"")</f>
        <v/>
      </c>
      <c r="H128" s="2"/>
      <c r="I128" s="2"/>
      <c r="J128" s="2"/>
    </row>
    <row r="129" spans="1:10" ht="16" x14ac:dyDescent="0.2">
      <c r="A129" s="12" t="s">
        <v>348</v>
      </c>
      <c r="B129" s="12" t="s">
        <v>68</v>
      </c>
      <c r="C129" s="12" t="s">
        <v>14</v>
      </c>
      <c r="D129" s="12"/>
      <c r="E129" s="12" t="str">
        <f>IFERROR(VLOOKUP(A129,#REF!,2,FALSE),"")</f>
        <v/>
      </c>
      <c r="F129" s="12" t="str">
        <f>IFERROR(VLOOKUP(B129,#REF!,2,FALSE),"")</f>
        <v/>
      </c>
      <c r="G129" s="12" t="str">
        <f>IFERROR(VLOOKUP(C129,#REF!,2,FALSE),"")</f>
        <v/>
      </c>
      <c r="H129" s="2"/>
      <c r="I129" s="2"/>
      <c r="J129" s="2"/>
    </row>
    <row r="130" spans="1:10" ht="16" x14ac:dyDescent="0.2">
      <c r="A130" s="21" t="s">
        <v>250</v>
      </c>
      <c r="B130" s="12" t="s">
        <v>66</v>
      </c>
      <c r="C130" s="12" t="s">
        <v>13</v>
      </c>
      <c r="D130" s="12"/>
      <c r="E130" s="12" t="str">
        <f>IFERROR(VLOOKUP(A130,#REF!,2,FALSE),"")</f>
        <v/>
      </c>
      <c r="F130" s="12" t="str">
        <f>IFERROR(VLOOKUP(B130,#REF!,2,FALSE),"")</f>
        <v/>
      </c>
      <c r="G130" s="12" t="str">
        <f>IFERROR(VLOOKUP(C130,#REF!,2,FALSE),"")</f>
        <v/>
      </c>
      <c r="H130" s="2"/>
      <c r="I130" s="2"/>
      <c r="J130" s="2"/>
    </row>
    <row r="131" spans="1:10" ht="16" x14ac:dyDescent="0.2">
      <c r="A131" s="5" t="s">
        <v>121</v>
      </c>
      <c r="B131" s="12" t="s">
        <v>65</v>
      </c>
      <c r="C131" s="12" t="s">
        <v>12</v>
      </c>
      <c r="D131" s="12"/>
      <c r="E131" s="12" t="str">
        <f>IFERROR(VLOOKUP(A131,#REF!,2,FALSE),"")</f>
        <v/>
      </c>
      <c r="F131" s="12" t="str">
        <f>IFERROR(VLOOKUP(B131,#REF!,2,FALSE),"")</f>
        <v/>
      </c>
      <c r="G131" s="12" t="str">
        <f>IFERROR(VLOOKUP(C131,#REF!,2,FALSE),"")</f>
        <v/>
      </c>
      <c r="H131" s="2"/>
      <c r="I131" s="2"/>
      <c r="J131" s="2"/>
    </row>
    <row r="132" spans="1:10" ht="16" x14ac:dyDescent="0.2">
      <c r="A132" s="5" t="s">
        <v>222</v>
      </c>
      <c r="B132" s="12" t="s">
        <v>67</v>
      </c>
      <c r="C132" s="12" t="s">
        <v>13</v>
      </c>
      <c r="D132" s="12"/>
      <c r="E132" s="12" t="str">
        <f>IFERROR(VLOOKUP(A132,#REF!,2,FALSE),"")</f>
        <v/>
      </c>
      <c r="F132" s="12" t="str">
        <f>IFERROR(VLOOKUP(B132,#REF!,2,FALSE),"")</f>
        <v/>
      </c>
      <c r="G132" s="12" t="str">
        <f>IFERROR(VLOOKUP(C132,#REF!,2,FALSE),"")</f>
        <v/>
      </c>
      <c r="H132" s="2"/>
      <c r="I132" s="2"/>
      <c r="J132" s="2"/>
    </row>
    <row r="133" spans="1:10" ht="16" x14ac:dyDescent="0.2">
      <c r="A133" s="12" t="s">
        <v>303</v>
      </c>
      <c r="B133" s="12" t="s">
        <v>52</v>
      </c>
      <c r="C133" s="12" t="s">
        <v>13</v>
      </c>
      <c r="D133" s="12"/>
      <c r="E133" s="12" t="str">
        <f>IFERROR(VLOOKUP(A133,#REF!,2,FALSE),"")</f>
        <v/>
      </c>
      <c r="F133" s="12" t="str">
        <f>IFERROR(VLOOKUP(B133,#REF!,2,FALSE),"")</f>
        <v/>
      </c>
      <c r="G133" s="12" t="str">
        <f>IFERROR(VLOOKUP(C133,#REF!,2,FALSE),"")</f>
        <v/>
      </c>
      <c r="H133" s="2"/>
      <c r="I133" s="2"/>
      <c r="J133" s="2"/>
    </row>
    <row r="134" spans="1:10" ht="16" x14ac:dyDescent="0.2">
      <c r="A134" s="5" t="s">
        <v>224</v>
      </c>
      <c r="B134" s="14" t="s">
        <v>51</v>
      </c>
      <c r="C134" s="12" t="s">
        <v>13</v>
      </c>
      <c r="D134" s="12"/>
      <c r="E134" s="12" t="str">
        <f>IFERROR(VLOOKUP(A134,#REF!,2,FALSE),"")</f>
        <v/>
      </c>
      <c r="F134" s="12" t="str">
        <f>IFERROR(VLOOKUP(B134,#REF!,2,FALSE),"")</f>
        <v/>
      </c>
      <c r="G134" s="12" t="str">
        <f>IFERROR(VLOOKUP(C134,#REF!,2,FALSE),"")</f>
        <v/>
      </c>
      <c r="H134" s="2"/>
      <c r="I134" s="2"/>
      <c r="J134" s="2"/>
    </row>
    <row r="135" spans="1:10" ht="16" x14ac:dyDescent="0.2">
      <c r="A135" s="12" t="s">
        <v>305</v>
      </c>
      <c r="B135" s="12" t="s">
        <v>60</v>
      </c>
      <c r="C135" s="12" t="s">
        <v>13</v>
      </c>
      <c r="D135" s="12"/>
      <c r="E135" s="12" t="str">
        <f>IFERROR(VLOOKUP(A135,#REF!,2,FALSE),"")</f>
        <v/>
      </c>
      <c r="F135" s="12" t="str">
        <f>IFERROR(VLOOKUP(B135,#REF!,2,FALSE),"")</f>
        <v/>
      </c>
      <c r="G135" s="12" t="str">
        <f>IFERROR(VLOOKUP(C135,#REF!,2,FALSE),"")</f>
        <v/>
      </c>
      <c r="H135" s="2"/>
      <c r="I135" s="2"/>
      <c r="J135" s="2"/>
    </row>
    <row r="136" spans="1:10" ht="16" x14ac:dyDescent="0.2">
      <c r="A136" s="8" t="s">
        <v>360</v>
      </c>
      <c r="B136" s="14" t="s">
        <v>61</v>
      </c>
      <c r="C136" s="12" t="s">
        <v>15</v>
      </c>
      <c r="D136" s="12"/>
      <c r="E136" s="12" t="str">
        <f>IFERROR(VLOOKUP(A136,#REF!,2,FALSE),"")</f>
        <v/>
      </c>
      <c r="F136" s="12" t="str">
        <f>IFERROR(VLOOKUP(B136,#REF!,2,FALSE),"")</f>
        <v/>
      </c>
      <c r="G136" s="12" t="str">
        <f>IFERROR(VLOOKUP(C136,#REF!,2,FALSE),"")</f>
        <v/>
      </c>
      <c r="H136" s="2"/>
      <c r="I136" s="2"/>
      <c r="J136" s="2"/>
    </row>
    <row r="137" spans="1:10" ht="16" x14ac:dyDescent="0.2">
      <c r="A137" s="8" t="s">
        <v>360</v>
      </c>
      <c r="B137" s="14" t="s">
        <v>62</v>
      </c>
      <c r="C137" s="12" t="s">
        <v>15</v>
      </c>
      <c r="D137" s="12"/>
      <c r="E137" s="12" t="str">
        <f>IFERROR(VLOOKUP(A137,#REF!,2,FALSE),"")</f>
        <v/>
      </c>
      <c r="F137" s="12" t="str">
        <f>IFERROR(VLOOKUP(B137,#REF!,2,FALSE),"")</f>
        <v/>
      </c>
      <c r="G137" s="12" t="str">
        <f>IFERROR(VLOOKUP(C137,#REF!,2,FALSE),"")</f>
        <v/>
      </c>
      <c r="H137" s="2"/>
      <c r="I137" s="2"/>
      <c r="J137" s="2"/>
    </row>
    <row r="138" spans="1:10" ht="16" x14ac:dyDescent="0.2">
      <c r="A138" s="12" t="s">
        <v>307</v>
      </c>
      <c r="B138" s="12" t="s">
        <v>64</v>
      </c>
      <c r="C138" s="12" t="s">
        <v>13</v>
      </c>
      <c r="D138" s="12"/>
      <c r="E138" s="12" t="str">
        <f>IFERROR(VLOOKUP(A138,#REF!,2,FALSE),"")</f>
        <v/>
      </c>
      <c r="F138" s="12" t="str">
        <f>IFERROR(VLOOKUP(B138,#REF!,2,FALSE),"")</f>
        <v/>
      </c>
      <c r="G138" s="12" t="str">
        <f>IFERROR(VLOOKUP(C138,#REF!,2,FALSE),"")</f>
        <v/>
      </c>
      <c r="H138" s="2"/>
      <c r="I138" s="2"/>
      <c r="J138" s="2"/>
    </row>
    <row r="139" spans="1:10" ht="16" x14ac:dyDescent="0.2">
      <c r="A139" s="12" t="s">
        <v>309</v>
      </c>
      <c r="B139" s="12" t="s">
        <v>55</v>
      </c>
      <c r="C139" s="12" t="s">
        <v>13</v>
      </c>
      <c r="D139" s="12"/>
      <c r="E139" s="12" t="str">
        <f>IFERROR(VLOOKUP(A139,#REF!,2,FALSE),"")</f>
        <v/>
      </c>
      <c r="F139" s="12" t="str">
        <f>IFERROR(VLOOKUP(B139,#REF!,2,FALSE),"")</f>
        <v/>
      </c>
      <c r="G139" s="12" t="str">
        <f>IFERROR(VLOOKUP(C139,#REF!,2,FALSE),"")</f>
        <v/>
      </c>
      <c r="H139" s="2"/>
      <c r="I139" s="2"/>
      <c r="J139" s="2"/>
    </row>
    <row r="140" spans="1:10" ht="16" x14ac:dyDescent="0.2">
      <c r="A140" s="5" t="s">
        <v>21</v>
      </c>
      <c r="B140" s="12" t="s">
        <v>46</v>
      </c>
      <c r="C140" s="12" t="s">
        <v>12</v>
      </c>
      <c r="D140" s="12"/>
      <c r="E140" s="12" t="str">
        <f>IFERROR(VLOOKUP(A140,#REF!,2,FALSE),"")</f>
        <v/>
      </c>
      <c r="F140" s="12" t="str">
        <f>IFERROR(VLOOKUP(B140,#REF!,2,FALSE),"")</f>
        <v/>
      </c>
      <c r="G140" s="12" t="str">
        <f>IFERROR(VLOOKUP(C140,#REF!,2,FALSE),"")</f>
        <v/>
      </c>
      <c r="H140" s="2"/>
      <c r="I140" s="2"/>
      <c r="J140" s="2"/>
    </row>
    <row r="141" spans="1:10" ht="16" x14ac:dyDescent="0.2">
      <c r="A141" s="16" t="s">
        <v>226</v>
      </c>
      <c r="B141" s="12" t="s">
        <v>65</v>
      </c>
      <c r="C141" s="12" t="s">
        <v>13</v>
      </c>
      <c r="D141" s="12"/>
      <c r="E141" s="12" t="str">
        <f>IFERROR(VLOOKUP(A141,#REF!,2,FALSE),"")</f>
        <v/>
      </c>
      <c r="F141" s="12" t="str">
        <f>IFERROR(VLOOKUP(B141,#REF!,2,FALSE),"")</f>
        <v/>
      </c>
      <c r="G141" s="12" t="str">
        <f>IFERROR(VLOOKUP(C141,#REF!,2,FALSE),"")</f>
        <v/>
      </c>
      <c r="H141" s="2"/>
      <c r="I141" s="2"/>
      <c r="J141" s="2"/>
    </row>
    <row r="142" spans="1:10" ht="16" x14ac:dyDescent="0.2">
      <c r="A142" s="22" t="s">
        <v>378</v>
      </c>
      <c r="B142" s="12" t="s">
        <v>51</v>
      </c>
      <c r="C142" s="12" t="s">
        <v>14</v>
      </c>
      <c r="D142" s="12"/>
      <c r="E142" s="12" t="str">
        <f>IFERROR(VLOOKUP(A142,#REF!,2,FALSE),"")</f>
        <v/>
      </c>
      <c r="F142" s="12" t="str">
        <f>IFERROR(VLOOKUP(B142,#REF!,2,FALSE),"")</f>
        <v/>
      </c>
      <c r="G142" s="12" t="str">
        <f>IFERROR(VLOOKUP(C142,#REF!,2,FALSE),"")</f>
        <v/>
      </c>
      <c r="H142" s="2"/>
      <c r="I142" s="2"/>
      <c r="J142" s="2"/>
    </row>
    <row r="143" spans="1:10" ht="16" x14ac:dyDescent="0.2">
      <c r="A143" s="12" t="s">
        <v>311</v>
      </c>
      <c r="B143" s="12" t="s">
        <v>69</v>
      </c>
      <c r="C143" s="12" t="s">
        <v>13</v>
      </c>
      <c r="D143" s="12"/>
      <c r="E143" s="12" t="str">
        <f>IFERROR(VLOOKUP(A143,#REF!,2,FALSE),"")</f>
        <v/>
      </c>
      <c r="F143" s="12" t="str">
        <f>IFERROR(VLOOKUP(B143,#REF!,2,FALSE),"")</f>
        <v/>
      </c>
      <c r="G143" s="12" t="str">
        <f>IFERROR(VLOOKUP(C143,#REF!,2,FALSE),"")</f>
        <v/>
      </c>
      <c r="H143" s="2"/>
      <c r="I143" s="2"/>
      <c r="J143" s="2"/>
    </row>
    <row r="144" spans="1:10" ht="16" x14ac:dyDescent="0.2">
      <c r="A144" s="5" t="s">
        <v>228</v>
      </c>
      <c r="B144" s="12" t="s">
        <v>52</v>
      </c>
      <c r="C144" s="12" t="s">
        <v>13</v>
      </c>
      <c r="D144" s="12"/>
      <c r="E144" s="12" t="str">
        <f>IFERROR(VLOOKUP(A144,#REF!,2,FALSE),"")</f>
        <v/>
      </c>
      <c r="F144" s="12" t="str">
        <f>IFERROR(VLOOKUP(B144,#REF!,2,FALSE),"")</f>
        <v/>
      </c>
      <c r="G144" s="12" t="str">
        <f>IFERROR(VLOOKUP(C144,#REF!,2,FALSE),"")</f>
        <v/>
      </c>
      <c r="H144" s="2"/>
      <c r="I144" s="2"/>
      <c r="J144" s="2"/>
    </row>
    <row r="145" spans="1:10" ht="16" x14ac:dyDescent="0.2">
      <c r="A145" s="12" t="s">
        <v>333</v>
      </c>
      <c r="B145" s="13" t="s">
        <v>55</v>
      </c>
      <c r="C145" s="12" t="s">
        <v>13</v>
      </c>
      <c r="D145" s="12"/>
      <c r="E145" s="12" t="str">
        <f>IFERROR(VLOOKUP(A145,#REF!,2,FALSE),"")</f>
        <v/>
      </c>
      <c r="F145" s="12" t="str">
        <f>IFERROR(VLOOKUP(B145,#REF!,2,FALSE),"")</f>
        <v/>
      </c>
      <c r="G145" s="12" t="str">
        <f>IFERROR(VLOOKUP(C145,#REF!,2,FALSE),"")</f>
        <v/>
      </c>
      <c r="H145" s="2"/>
      <c r="I145" s="2"/>
      <c r="J145" s="2"/>
    </row>
    <row r="146" spans="1:10" ht="16" x14ac:dyDescent="0.2">
      <c r="A146" s="8" t="s">
        <v>141</v>
      </c>
      <c r="B146" s="13" t="s">
        <v>61</v>
      </c>
      <c r="C146" s="12" t="s">
        <v>15</v>
      </c>
      <c r="D146" s="12"/>
      <c r="E146" s="12" t="str">
        <f>IFERROR(VLOOKUP(A146,#REF!,2,FALSE),"")</f>
        <v/>
      </c>
      <c r="F146" s="12" t="str">
        <f>IFERROR(VLOOKUP(B146,#REF!,2,FALSE),"")</f>
        <v/>
      </c>
      <c r="G146" s="12" t="str">
        <f>IFERROR(VLOOKUP(C146,#REF!,2,FALSE),"")</f>
        <v/>
      </c>
      <c r="H146" s="2"/>
      <c r="I146" s="2"/>
      <c r="J146" s="2"/>
    </row>
    <row r="147" spans="1:10" ht="16" x14ac:dyDescent="0.2">
      <c r="A147" s="5" t="s">
        <v>40</v>
      </c>
      <c r="B147" s="12" t="s">
        <v>67</v>
      </c>
      <c r="C147" s="12" t="s">
        <v>12</v>
      </c>
      <c r="D147" s="12"/>
      <c r="E147" s="12" t="str">
        <f>IFERROR(VLOOKUP(A147,#REF!,2,FALSE),"")</f>
        <v/>
      </c>
      <c r="F147" s="12" t="str">
        <f>IFERROR(VLOOKUP(B147,#REF!,2,FALSE),"")</f>
        <v/>
      </c>
      <c r="G147" s="12" t="str">
        <f>IFERROR(VLOOKUP(C147,#REF!,2,FALSE),"")</f>
        <v/>
      </c>
      <c r="H147" s="2"/>
      <c r="I147" s="2"/>
      <c r="J147" s="2"/>
    </row>
    <row r="148" spans="1:10" ht="16" x14ac:dyDescent="0.2">
      <c r="A148" s="12" t="s">
        <v>313</v>
      </c>
      <c r="B148" s="12" t="s">
        <v>60</v>
      </c>
      <c r="C148" s="12" t="s">
        <v>13</v>
      </c>
      <c r="D148" s="12"/>
      <c r="E148" s="12" t="str">
        <f>IFERROR(VLOOKUP(A148,#REF!,2,FALSE),"")</f>
        <v/>
      </c>
      <c r="F148" s="12" t="str">
        <f>IFERROR(VLOOKUP(B148,#REF!,2,FALSE),"")</f>
        <v/>
      </c>
      <c r="G148" s="12" t="str">
        <f>IFERROR(VLOOKUP(C148,#REF!,2,FALSE),"")</f>
        <v/>
      </c>
      <c r="H148" s="2"/>
      <c r="I148" s="2"/>
      <c r="J148" s="2"/>
    </row>
    <row r="149" spans="1:10" ht="16" x14ac:dyDescent="0.2">
      <c r="A149" s="12" t="s">
        <v>424</v>
      </c>
      <c r="B149" s="12" t="s">
        <v>403</v>
      </c>
      <c r="C149" s="12" t="s">
        <v>15</v>
      </c>
      <c r="D149" s="12"/>
      <c r="E149" s="12" t="str">
        <f>IFERROR(VLOOKUP(A149,#REF!,2,FALSE),"")</f>
        <v/>
      </c>
      <c r="F149" s="12" t="str">
        <f>IFERROR(VLOOKUP(B149,#REF!,2,FALSE),"")</f>
        <v/>
      </c>
      <c r="G149" s="12" t="str">
        <f>IFERROR(VLOOKUP(C149,#REF!,2,FALSE),"")</f>
        <v/>
      </c>
      <c r="H149" s="2"/>
      <c r="I149" s="2"/>
      <c r="J149" s="2"/>
    </row>
    <row r="150" spans="1:10" ht="16" x14ac:dyDescent="0.2">
      <c r="A150" s="12" t="s">
        <v>424</v>
      </c>
      <c r="B150" s="12" t="s">
        <v>405</v>
      </c>
      <c r="C150" s="12" t="s">
        <v>15</v>
      </c>
      <c r="D150" s="12"/>
      <c r="E150" s="12" t="str">
        <f>IFERROR(VLOOKUP(A150,#REF!,2,FALSE),"")</f>
        <v/>
      </c>
      <c r="F150" s="12" t="str">
        <f>IFERROR(VLOOKUP(B150,#REF!,2,FALSE),"")</f>
        <v/>
      </c>
      <c r="G150" s="12" t="str">
        <f>IFERROR(VLOOKUP(C150,#REF!,2,FALSE),"")</f>
        <v/>
      </c>
      <c r="H150" s="2"/>
      <c r="I150" s="2"/>
      <c r="J150" s="2"/>
    </row>
    <row r="151" spans="1:10" ht="16" x14ac:dyDescent="0.2">
      <c r="A151" s="5" t="s">
        <v>35</v>
      </c>
      <c r="B151" s="12" t="s">
        <v>62</v>
      </c>
      <c r="C151" s="12" t="s">
        <v>12</v>
      </c>
      <c r="D151" s="12"/>
      <c r="E151" s="12" t="str">
        <f>IFERROR(VLOOKUP(A151,#REF!,2,FALSE),"")</f>
        <v/>
      </c>
      <c r="F151" s="12" t="str">
        <f>IFERROR(VLOOKUP(B151,#REF!,2,FALSE),"")</f>
        <v/>
      </c>
      <c r="G151" s="12" t="str">
        <f>IFERROR(VLOOKUP(C151,#REF!,2,FALSE),"")</f>
        <v/>
      </c>
      <c r="H151" s="2"/>
      <c r="I151" s="2"/>
      <c r="J151" s="2"/>
    </row>
    <row r="152" spans="1:10" ht="16" x14ac:dyDescent="0.2">
      <c r="A152" s="12" t="s">
        <v>423</v>
      </c>
      <c r="B152" s="12" t="s">
        <v>403</v>
      </c>
      <c r="C152" s="12" t="s">
        <v>15</v>
      </c>
      <c r="D152" s="12"/>
      <c r="E152" s="12" t="str">
        <f>IFERROR(VLOOKUP(A152,#REF!,2,FALSE),"")</f>
        <v/>
      </c>
      <c r="F152" s="12" t="str">
        <f>IFERROR(VLOOKUP(B152,#REF!,2,FALSE),"")</f>
        <v/>
      </c>
      <c r="G152" s="12" t="str">
        <f>IFERROR(VLOOKUP(C152,#REF!,2,FALSE),"")</f>
        <v/>
      </c>
      <c r="H152" s="2"/>
      <c r="I152" s="2"/>
      <c r="J152" s="2"/>
    </row>
    <row r="153" spans="1:10" ht="16" x14ac:dyDescent="0.2">
      <c r="A153" s="5" t="s">
        <v>156</v>
      </c>
      <c r="B153" s="15" t="s">
        <v>55</v>
      </c>
      <c r="C153" s="12" t="s">
        <v>13</v>
      </c>
      <c r="D153" s="12"/>
      <c r="E153" s="12" t="str">
        <f>IFERROR(VLOOKUP(A153,#REF!,2,FALSE),"")</f>
        <v/>
      </c>
      <c r="F153" s="12" t="str">
        <f>IFERROR(VLOOKUP(B153,#REF!,2,FALSE),"")</f>
        <v/>
      </c>
      <c r="G153" s="12" t="str">
        <f>IFERROR(VLOOKUP(C153,#REF!,2,FALSE),"")</f>
        <v/>
      </c>
      <c r="H153" s="2"/>
      <c r="I153" s="2"/>
      <c r="J153" s="2"/>
    </row>
    <row r="154" spans="1:10" ht="16" x14ac:dyDescent="0.2">
      <c r="A154" s="12" t="s">
        <v>315</v>
      </c>
      <c r="B154" s="12" t="s">
        <v>69</v>
      </c>
      <c r="C154" s="12" t="s">
        <v>13</v>
      </c>
      <c r="D154" s="12"/>
      <c r="E154" s="12" t="str">
        <f>IFERROR(VLOOKUP(A154,#REF!,2,FALSE),"")</f>
        <v/>
      </c>
      <c r="F154" s="12" t="str">
        <f>IFERROR(VLOOKUP(B154,#REF!,2,FALSE),"")</f>
        <v/>
      </c>
      <c r="G154" s="12" t="str">
        <f>IFERROR(VLOOKUP(C154,#REF!,2,FALSE),"")</f>
        <v/>
      </c>
      <c r="H154" s="2"/>
      <c r="I154" s="2"/>
      <c r="J154" s="2"/>
    </row>
    <row r="155" spans="1:10" ht="16" x14ac:dyDescent="0.2">
      <c r="A155" t="s">
        <v>342</v>
      </c>
      <c r="B155" s="12" t="s">
        <v>67</v>
      </c>
      <c r="C155" s="12" t="s">
        <v>15</v>
      </c>
      <c r="D155" s="12"/>
      <c r="E155" s="12" t="str">
        <f>IFERROR(VLOOKUP(A155,#REF!,2,FALSE),"")</f>
        <v/>
      </c>
      <c r="F155" s="12" t="str">
        <f>IFERROR(VLOOKUP(B155,#REF!,2,FALSE),"")</f>
        <v/>
      </c>
      <c r="G155" s="12" t="str">
        <f>IFERROR(VLOOKUP(C155,#REF!,2,FALSE),"")</f>
        <v/>
      </c>
      <c r="H155" s="2"/>
      <c r="I155" s="2"/>
      <c r="J155" s="2"/>
    </row>
    <row r="156" spans="1:10" ht="16" x14ac:dyDescent="0.2">
      <c r="A156" s="12" t="s">
        <v>409</v>
      </c>
      <c r="B156" s="12" t="s">
        <v>407</v>
      </c>
      <c r="C156" s="12" t="s">
        <v>14</v>
      </c>
      <c r="D156" s="12"/>
      <c r="E156" s="12" t="str">
        <f>IFERROR(VLOOKUP(A156,#REF!,2,FALSE),"")</f>
        <v/>
      </c>
      <c r="F156" s="12" t="str">
        <f>IFERROR(VLOOKUP(B156,#REF!,2,FALSE),"")</f>
        <v/>
      </c>
      <c r="G156" s="12" t="str">
        <f>IFERROR(VLOOKUP(C156,#REF!,2,FALSE),"")</f>
        <v/>
      </c>
      <c r="H156" s="2"/>
      <c r="I156" s="2"/>
      <c r="J156" s="2"/>
    </row>
    <row r="157" spans="1:10" ht="16" x14ac:dyDescent="0.2">
      <c r="A157" s="5" t="s">
        <v>119</v>
      </c>
      <c r="B157" s="14" t="s">
        <v>48</v>
      </c>
      <c r="C157" s="12" t="s">
        <v>12</v>
      </c>
      <c r="D157" s="12"/>
      <c r="E157" s="12" t="str">
        <f>IFERROR(VLOOKUP(A157,#REF!,2,FALSE),"")</f>
        <v/>
      </c>
      <c r="F157" s="12" t="str">
        <f>IFERROR(VLOOKUP(B157,#REF!,2,FALSE),"")</f>
        <v/>
      </c>
      <c r="G157" s="12" t="str">
        <f>IFERROR(VLOOKUP(C157,#REF!,2,FALSE),"")</f>
        <v/>
      </c>
      <c r="H157" s="2"/>
      <c r="I157" s="2"/>
      <c r="J157" s="2"/>
    </row>
    <row r="158" spans="1:10" ht="16" x14ac:dyDescent="0.2">
      <c r="A158" s="12" t="s">
        <v>425</v>
      </c>
      <c r="B158" s="12" t="s">
        <v>403</v>
      </c>
      <c r="C158" s="12" t="s">
        <v>15</v>
      </c>
      <c r="D158" s="12"/>
      <c r="E158" s="12" t="str">
        <f>IFERROR(VLOOKUP(A158,#REF!,2,FALSE),"")</f>
        <v/>
      </c>
      <c r="F158" s="12" t="str">
        <f>IFERROR(VLOOKUP(B158,#REF!,2,FALSE),"")</f>
        <v/>
      </c>
      <c r="G158" s="12" t="str">
        <f>IFERROR(VLOOKUP(C158,#REF!,2,FALSE),"")</f>
        <v/>
      </c>
      <c r="H158" s="2"/>
      <c r="I158" s="2"/>
      <c r="J158" s="2"/>
    </row>
    <row r="159" spans="1:10" ht="16" x14ac:dyDescent="0.2">
      <c r="A159" s="12" t="s">
        <v>425</v>
      </c>
      <c r="B159" s="12" t="s">
        <v>405</v>
      </c>
      <c r="C159" s="12" t="s">
        <v>15</v>
      </c>
      <c r="D159" s="12"/>
      <c r="E159" s="12" t="str">
        <f>IFERROR(VLOOKUP(A159,#REF!,2,FALSE),"")</f>
        <v/>
      </c>
      <c r="F159" s="12" t="str">
        <f>IFERROR(VLOOKUP(B159,#REF!,2,FALSE),"")</f>
        <v/>
      </c>
      <c r="G159" s="12" t="str">
        <f>IFERROR(VLOOKUP(C159,#REF!,2,FALSE),"")</f>
        <v/>
      </c>
      <c r="H159" s="2"/>
      <c r="I159" s="2"/>
      <c r="J159" s="2"/>
    </row>
    <row r="160" spans="1:10" ht="16" x14ac:dyDescent="0.2">
      <c r="A160" s="5" t="s">
        <v>32</v>
      </c>
      <c r="B160" s="12" t="s">
        <v>59</v>
      </c>
      <c r="C160" s="12" t="s">
        <v>12</v>
      </c>
      <c r="D160" s="12"/>
      <c r="E160" s="12" t="str">
        <f>IFERROR(VLOOKUP(A160,#REF!,2,FALSE),"")</f>
        <v/>
      </c>
      <c r="F160" s="12" t="str">
        <f>IFERROR(VLOOKUP(B160,#REF!,2,FALSE),"")</f>
        <v/>
      </c>
      <c r="G160" s="12" t="str">
        <f>IFERROR(VLOOKUP(C160,#REF!,2,FALSE),"")</f>
        <v/>
      </c>
      <c r="H160" s="2"/>
      <c r="I160" s="2"/>
      <c r="J160" s="2"/>
    </row>
    <row r="161" spans="1:10" ht="16" x14ac:dyDescent="0.2">
      <c r="A161" s="5" t="s">
        <v>43</v>
      </c>
      <c r="B161" s="14" t="s">
        <v>69</v>
      </c>
      <c r="C161" s="12" t="s">
        <v>12</v>
      </c>
      <c r="D161" s="12"/>
      <c r="E161" s="12" t="str">
        <f>IFERROR(VLOOKUP(A161,#REF!,2,FALSE),"")</f>
        <v/>
      </c>
      <c r="F161" s="12" t="str">
        <f>IFERROR(VLOOKUP(B161,#REF!,2,FALSE),"")</f>
        <v/>
      </c>
      <c r="G161" s="12" t="str">
        <f>IFERROR(VLOOKUP(C161,#REF!,2,FALSE),"")</f>
        <v/>
      </c>
      <c r="H161" s="2"/>
      <c r="I161" s="2"/>
      <c r="J161" s="2"/>
    </row>
    <row r="162" spans="1:10" ht="16" x14ac:dyDescent="0.2">
      <c r="A162" s="12" t="s">
        <v>413</v>
      </c>
      <c r="B162" s="12" t="s">
        <v>406</v>
      </c>
      <c r="C162" s="12" t="s">
        <v>13</v>
      </c>
      <c r="D162" s="12"/>
      <c r="E162" s="12" t="str">
        <f>IFERROR(VLOOKUP(A162,#REF!,2,FALSE),"")</f>
        <v/>
      </c>
      <c r="F162" s="12" t="str">
        <f>IFERROR(VLOOKUP(B162,#REF!,2,FALSE),"")</f>
        <v/>
      </c>
      <c r="G162" s="12" t="str">
        <f>IFERROR(VLOOKUP(C162,#REF!,2,FALSE),"")</f>
        <v/>
      </c>
      <c r="H162" s="2"/>
      <c r="I162" s="2"/>
      <c r="J162" s="2"/>
    </row>
    <row r="163" spans="1:10" ht="16" x14ac:dyDescent="0.2">
      <c r="A163" s="12" t="s">
        <v>418</v>
      </c>
      <c r="B163" s="12" t="s">
        <v>404</v>
      </c>
      <c r="C163" s="12" t="s">
        <v>13</v>
      </c>
      <c r="D163" s="12"/>
      <c r="E163" s="12" t="str">
        <f>IFERROR(VLOOKUP(A163,#REF!,2,FALSE),"")</f>
        <v/>
      </c>
      <c r="F163" s="12" t="str">
        <f>IFERROR(VLOOKUP(B163,#REF!,2,FALSE),"")</f>
        <v/>
      </c>
      <c r="G163" s="12" t="str">
        <f>IFERROR(VLOOKUP(C163,#REF!,2,FALSE),"")</f>
        <v/>
      </c>
      <c r="H163" s="2"/>
      <c r="I163" s="2"/>
      <c r="J163" s="2"/>
    </row>
    <row r="164" spans="1:10" ht="16" x14ac:dyDescent="0.2">
      <c r="A164" s="12" t="s">
        <v>317</v>
      </c>
      <c r="B164" s="14" t="s">
        <v>398</v>
      </c>
      <c r="C164" s="12" t="s">
        <v>13</v>
      </c>
      <c r="D164" s="12"/>
      <c r="E164" s="12"/>
      <c r="F164" s="12"/>
      <c r="G164" s="12"/>
      <c r="H164" s="2"/>
      <c r="I164" s="2"/>
      <c r="J164" s="2"/>
    </row>
    <row r="165" spans="1:10" ht="16" x14ac:dyDescent="0.2">
      <c r="A165" s="12" t="s">
        <v>317</v>
      </c>
      <c r="B165" s="12" t="s">
        <v>127</v>
      </c>
      <c r="C165" s="12" t="s">
        <v>13</v>
      </c>
      <c r="D165" s="12"/>
      <c r="E165" s="12" t="str">
        <f>IFERROR(VLOOKUP(A165,#REF!,2,FALSE),"")</f>
        <v/>
      </c>
      <c r="F165" s="12" t="str">
        <f>IFERROR(VLOOKUP(B165,#REF!,2,FALSE),"")</f>
        <v/>
      </c>
      <c r="G165" s="12" t="str">
        <f>IFERROR(VLOOKUP(C165,#REF!,2,FALSE),"")</f>
        <v/>
      </c>
      <c r="H165" s="2"/>
      <c r="I165" s="2"/>
      <c r="J165" s="2"/>
    </row>
    <row r="166" spans="1:10" ht="16" x14ac:dyDescent="0.2">
      <c r="A166" s="12" t="s">
        <v>319</v>
      </c>
      <c r="B166" s="12" t="s">
        <v>46</v>
      </c>
      <c r="C166" s="12" t="s">
        <v>13</v>
      </c>
      <c r="D166" s="12"/>
      <c r="E166" s="12" t="str">
        <f>IFERROR(VLOOKUP(A166,#REF!,2,FALSE),"")</f>
        <v/>
      </c>
      <c r="F166" s="12" t="str">
        <f>IFERROR(VLOOKUP(B166,#REF!,2,FALSE),"")</f>
        <v/>
      </c>
      <c r="G166" s="12" t="str">
        <f>IFERROR(VLOOKUP(C166,#REF!,2,FALSE),"")</f>
        <v/>
      </c>
      <c r="H166" s="2"/>
      <c r="I166" s="2"/>
      <c r="J166" s="2"/>
    </row>
    <row r="167" spans="1:10" ht="16" x14ac:dyDescent="0.2">
      <c r="A167" s="12" t="s">
        <v>321</v>
      </c>
      <c r="B167" s="12" t="s">
        <v>50</v>
      </c>
      <c r="C167" s="12" t="s">
        <v>13</v>
      </c>
      <c r="D167" s="12"/>
      <c r="E167" s="12" t="str">
        <f>IFERROR(VLOOKUP(A167,#REF!,2,FALSE),"")</f>
        <v/>
      </c>
      <c r="F167" s="12" t="str">
        <f>IFERROR(VLOOKUP(B167,#REF!,2,FALSE),"")</f>
        <v/>
      </c>
      <c r="G167" s="12" t="str">
        <f>IFERROR(VLOOKUP(C167,#REF!,2,FALSE),"")</f>
        <v/>
      </c>
      <c r="H167" s="2"/>
      <c r="I167" s="2"/>
      <c r="J167" s="2"/>
    </row>
    <row r="168" spans="1:10" ht="16" x14ac:dyDescent="0.2">
      <c r="A168" s="12" t="s">
        <v>323</v>
      </c>
      <c r="B168" s="12" t="s">
        <v>64</v>
      </c>
      <c r="C168" s="12" t="s">
        <v>13</v>
      </c>
      <c r="D168" s="12"/>
      <c r="E168" s="12" t="str">
        <f>IFERROR(VLOOKUP(A168,#REF!,2,FALSE),"")</f>
        <v/>
      </c>
      <c r="F168" s="12" t="str">
        <f>IFERROR(VLOOKUP(B168,#REF!,2,FALSE),"")</f>
        <v/>
      </c>
      <c r="G168" s="12" t="str">
        <f>IFERROR(VLOOKUP(C168,#REF!,2,FALSE),"")</f>
        <v/>
      </c>
      <c r="H168" s="2"/>
      <c r="I168" s="2"/>
      <c r="J168" s="2"/>
    </row>
    <row r="169" spans="1:10" ht="16" x14ac:dyDescent="0.2">
      <c r="A169" s="5" t="s">
        <v>20</v>
      </c>
      <c r="B169" s="12" t="s">
        <v>126</v>
      </c>
      <c r="C169" s="12" t="s">
        <v>12</v>
      </c>
      <c r="D169" s="12"/>
      <c r="E169" s="12" t="str">
        <f>IFERROR(VLOOKUP(A169,#REF!,2,FALSE),"")</f>
        <v/>
      </c>
      <c r="F169" s="12" t="str">
        <f>IFERROR(VLOOKUP(B169,#REF!,2,FALSE),"")</f>
        <v/>
      </c>
      <c r="G169" s="12" t="str">
        <f>IFERROR(VLOOKUP(C169,#REF!,2,FALSE),"")</f>
        <v/>
      </c>
      <c r="H169" s="2"/>
      <c r="I169" s="2"/>
      <c r="J169" s="2"/>
    </row>
    <row r="170" spans="1:10" ht="16" x14ac:dyDescent="0.2">
      <c r="A170" s="12" t="s">
        <v>384</v>
      </c>
      <c r="B170" s="12" t="s">
        <v>49</v>
      </c>
      <c r="C170" s="12" t="s">
        <v>15</v>
      </c>
      <c r="D170" s="12"/>
      <c r="E170" s="12" t="str">
        <f>IFERROR(VLOOKUP(A170,#REF!,2,FALSE),"")</f>
        <v/>
      </c>
      <c r="F170" s="12" t="str">
        <f>IFERROR(VLOOKUP(B170,#REF!,2,FALSE),"")</f>
        <v/>
      </c>
      <c r="G170" s="12" t="str">
        <f>IFERROR(VLOOKUP(C170,#REF!,2,FALSE),"")</f>
        <v/>
      </c>
      <c r="H170" s="2"/>
      <c r="I170" s="2"/>
      <c r="J170" s="2"/>
    </row>
    <row r="171" spans="1:10" ht="16" x14ac:dyDescent="0.2">
      <c r="A171" s="12" t="s">
        <v>384</v>
      </c>
      <c r="B171" s="12" t="s">
        <v>398</v>
      </c>
      <c r="C171" s="12" t="s">
        <v>15</v>
      </c>
      <c r="D171" s="12"/>
      <c r="E171" s="12" t="str">
        <f>IFERROR(VLOOKUP(A171,#REF!,2,FALSE),"")</f>
        <v/>
      </c>
      <c r="F171" s="12" t="str">
        <f>IFERROR(VLOOKUP(B171,#REF!,2,FALSE),"")</f>
        <v/>
      </c>
      <c r="G171" s="12" t="str">
        <f>IFERROR(VLOOKUP(C171,#REF!,2,FALSE),"")</f>
        <v/>
      </c>
      <c r="H171" s="2"/>
      <c r="I171" s="2"/>
      <c r="J171" s="2"/>
    </row>
    <row r="172" spans="1:10" ht="16" x14ac:dyDescent="0.2">
      <c r="A172" s="5" t="s">
        <v>33</v>
      </c>
      <c r="B172" s="12" t="s">
        <v>60</v>
      </c>
      <c r="C172" s="12" t="s">
        <v>12</v>
      </c>
      <c r="D172" s="12"/>
      <c r="E172" s="12" t="str">
        <f>IFERROR(VLOOKUP(A172,#REF!,2,FALSE),"")</f>
        <v/>
      </c>
      <c r="F172" s="12" t="str">
        <f>IFERROR(VLOOKUP(B172,#REF!,2,FALSE),"")</f>
        <v/>
      </c>
      <c r="G172" s="12" t="str">
        <f>IFERROR(VLOOKUP(C172,#REF!,2,FALSE),"")</f>
        <v/>
      </c>
      <c r="H172" s="2"/>
      <c r="I172" s="2"/>
      <c r="J172" s="2"/>
    </row>
    <row r="173" spans="1:10" ht="16" x14ac:dyDescent="0.2">
      <c r="A173" s="5" t="s">
        <v>325</v>
      </c>
      <c r="B173" s="12" t="s">
        <v>398</v>
      </c>
      <c r="C173" s="12" t="s">
        <v>13</v>
      </c>
      <c r="D173" s="12"/>
      <c r="E173" s="12"/>
      <c r="F173" s="12"/>
      <c r="G173" s="12"/>
      <c r="H173" s="2"/>
      <c r="I173" s="2"/>
      <c r="J173" s="2"/>
    </row>
    <row r="174" spans="1:10" ht="16" x14ac:dyDescent="0.2">
      <c r="A174" s="12" t="s">
        <v>325</v>
      </c>
      <c r="B174" s="12" t="s">
        <v>58</v>
      </c>
      <c r="C174" s="12"/>
      <c r="D174" s="12"/>
      <c r="E174" s="12" t="str">
        <f>IFERROR(VLOOKUP(A174,#REF!,2,FALSE),"")</f>
        <v/>
      </c>
      <c r="F174" s="12" t="str">
        <f>IFERROR(VLOOKUP(B174,#REF!,2,FALSE),"")</f>
        <v/>
      </c>
      <c r="G174" s="12" t="str">
        <f>IFERROR(VLOOKUP(C174,#REF!,2,FALSE),"")</f>
        <v/>
      </c>
      <c r="H174" s="2"/>
      <c r="I174" s="2"/>
      <c r="J174" s="2"/>
    </row>
    <row r="175" spans="1:10" ht="16" x14ac:dyDescent="0.2">
      <c r="A175" s="12" t="s">
        <v>370</v>
      </c>
      <c r="B175" s="15" t="s">
        <v>54</v>
      </c>
      <c r="C175" s="12" t="s">
        <v>14</v>
      </c>
      <c r="D175" s="12"/>
      <c r="E175" s="12" t="str">
        <f>IFERROR(VLOOKUP(A175,#REF!,2,FALSE),"")</f>
        <v/>
      </c>
      <c r="F175" s="12" t="str">
        <f>IFERROR(VLOOKUP(B175,#REF!,2,FALSE),"")</f>
        <v/>
      </c>
      <c r="G175" s="12" t="str">
        <f>IFERROR(VLOOKUP(C175,#REF!,2,FALSE),"")</f>
        <v/>
      </c>
      <c r="H175" s="2"/>
      <c r="I175" s="2"/>
      <c r="J175" s="2"/>
    </row>
    <row r="176" spans="1:10" ht="16" x14ac:dyDescent="0.2">
      <c r="A176" s="12" t="s">
        <v>411</v>
      </c>
      <c r="B176" s="12" t="s">
        <v>407</v>
      </c>
      <c r="C176" s="12" t="s">
        <v>15</v>
      </c>
      <c r="D176" s="12"/>
      <c r="E176" s="12" t="str">
        <f>IFERROR(VLOOKUP(A176,#REF!,2,FALSE),"")</f>
        <v/>
      </c>
      <c r="F176" s="12" t="str">
        <f>IFERROR(VLOOKUP(B176,#REF!,2,FALSE),"")</f>
        <v/>
      </c>
      <c r="G176" s="12" t="str">
        <f>IFERROR(VLOOKUP(C176,#REF!,2,FALSE),"")</f>
        <v/>
      </c>
      <c r="H176" s="2"/>
      <c r="I176" s="2"/>
      <c r="J176" s="2"/>
    </row>
    <row r="177" spans="1:10" ht="16" x14ac:dyDescent="0.2">
      <c r="A177" s="7" t="s">
        <v>139</v>
      </c>
      <c r="B177" s="12" t="s">
        <v>46</v>
      </c>
      <c r="C177" s="12" t="s">
        <v>15</v>
      </c>
      <c r="D177" s="12"/>
      <c r="E177" s="12" t="str">
        <f>IFERROR(VLOOKUP(A178,#REF!,2,FALSE),"")</f>
        <v/>
      </c>
      <c r="F177" s="12" t="str">
        <f>IFERROR(VLOOKUP(B177,#REF!,2,FALSE),"")</f>
        <v/>
      </c>
      <c r="G177" s="12" t="str">
        <f>IFERROR(VLOOKUP(C177,#REF!,2,FALSE),"")</f>
        <v/>
      </c>
      <c r="H177" s="2"/>
      <c r="I177" s="2"/>
      <c r="J177" s="2"/>
    </row>
    <row r="178" spans="1:10" ht="16" x14ac:dyDescent="0.2">
      <c r="A178" t="s">
        <v>139</v>
      </c>
      <c r="B178" s="12" t="s">
        <v>63</v>
      </c>
      <c r="C178" s="12" t="s">
        <v>15</v>
      </c>
      <c r="D178" s="12"/>
      <c r="E178" s="12" t="str">
        <f>IFERROR(VLOOKUP(A178,#REF!,2,FALSE),"")</f>
        <v/>
      </c>
      <c r="F178" s="12" t="str">
        <f>IFERROR(VLOOKUP(B178,#REF!,2,FALSE),"")</f>
        <v/>
      </c>
      <c r="G178" s="12" t="str">
        <f>IFERROR(VLOOKUP(C178,#REF!,2,FALSE),"")</f>
        <v/>
      </c>
      <c r="H178" s="2"/>
      <c r="I178" s="2"/>
      <c r="J178" s="2"/>
    </row>
    <row r="179" spans="1:10" ht="16" x14ac:dyDescent="0.2">
      <c r="A179" s="12" t="s">
        <v>371</v>
      </c>
      <c r="B179" s="15" t="s">
        <v>54</v>
      </c>
      <c r="C179" s="12" t="s">
        <v>14</v>
      </c>
      <c r="D179" s="12"/>
      <c r="E179" s="12" t="str">
        <f>IFERROR(VLOOKUP(A179,#REF!,2,FALSE),"")</f>
        <v/>
      </c>
      <c r="F179" s="12" t="str">
        <f>IFERROR(VLOOKUP(B179,#REF!,2,FALSE),"")</f>
        <v/>
      </c>
      <c r="G179" s="12" t="str">
        <f>IFERROR(VLOOKUP(C179,#REF!,2,FALSE),"")</f>
        <v/>
      </c>
      <c r="H179" s="2"/>
      <c r="I179" s="2"/>
      <c r="J179" s="2"/>
    </row>
    <row r="180" spans="1:10" ht="16" x14ac:dyDescent="0.2">
      <c r="A180" s="5" t="s">
        <v>38</v>
      </c>
      <c r="B180" s="12" t="s">
        <v>65</v>
      </c>
      <c r="C180" s="12" t="s">
        <v>12</v>
      </c>
      <c r="D180" s="12"/>
      <c r="E180" s="12" t="str">
        <f>IFERROR(VLOOKUP(A180,#REF!,2,FALSE),"")</f>
        <v/>
      </c>
      <c r="F180" s="12" t="str">
        <f>IFERROR(VLOOKUP(B180,#REF!,2,FALSE),"")</f>
        <v/>
      </c>
      <c r="G180" s="12" t="str">
        <f>IFERROR(VLOOKUP(C180,#REF!,2,FALSE),"")</f>
        <v/>
      </c>
      <c r="H180" s="2"/>
      <c r="I180" s="2"/>
      <c r="J180" s="2"/>
    </row>
    <row r="181" spans="1:10" ht="16" x14ac:dyDescent="0.2">
      <c r="A181" s="5" t="s">
        <v>230</v>
      </c>
      <c r="B181" s="12" t="s">
        <v>52</v>
      </c>
      <c r="C181" s="12" t="s">
        <v>13</v>
      </c>
      <c r="D181" s="12"/>
      <c r="E181" s="12" t="str">
        <f>IFERROR(VLOOKUP(A181,#REF!,2,FALSE),"")</f>
        <v/>
      </c>
      <c r="F181" s="12" t="str">
        <f>IFERROR(VLOOKUP(B181,#REF!,2,FALSE),"")</f>
        <v/>
      </c>
      <c r="G181" s="12" t="str">
        <f>IFERROR(VLOOKUP(C181,#REF!,2,FALSE),"")</f>
        <v/>
      </c>
      <c r="H181" s="2"/>
      <c r="I181" s="2"/>
      <c r="J181" s="2"/>
    </row>
    <row r="182" spans="1:10" ht="16" x14ac:dyDescent="0.2">
      <c r="A182" s="12" t="s">
        <v>327</v>
      </c>
      <c r="B182" s="12" t="s">
        <v>55</v>
      </c>
      <c r="C182" s="12" t="s">
        <v>13</v>
      </c>
      <c r="D182" s="12"/>
      <c r="E182" s="12" t="str">
        <f>IFERROR(VLOOKUP(A182,#REF!,2,FALSE),"")</f>
        <v/>
      </c>
      <c r="F182" s="12" t="str">
        <f>IFERROR(VLOOKUP(B182,#REF!,2,FALSE),"")</f>
        <v/>
      </c>
      <c r="G182" s="12" t="str">
        <f>IFERROR(VLOOKUP(C182,#REF!,2,FALSE),"")</f>
        <v/>
      </c>
      <c r="H182" s="2"/>
      <c r="I182" s="2"/>
      <c r="J182" s="2"/>
    </row>
    <row r="183" spans="1:10" ht="16" x14ac:dyDescent="0.2">
      <c r="A183" s="12" t="s">
        <v>385</v>
      </c>
      <c r="B183" s="12" t="s">
        <v>47</v>
      </c>
      <c r="C183" s="12" t="s">
        <v>14</v>
      </c>
      <c r="D183" s="12"/>
      <c r="E183" s="12" t="str">
        <f>IFERROR(VLOOKUP(A183,#REF!,2,FALSE),"")</f>
        <v/>
      </c>
      <c r="F183" s="12" t="str">
        <f>IFERROR(VLOOKUP(B183,#REF!,2,FALSE),"")</f>
        <v/>
      </c>
      <c r="G183" s="12" t="str">
        <f>IFERROR(VLOOKUP(C183,#REF!,2,FALSE),"")</f>
        <v/>
      </c>
      <c r="H183" s="2"/>
      <c r="I183" s="2"/>
      <c r="J183" s="2"/>
    </row>
    <row r="184" spans="1:10" ht="16" x14ac:dyDescent="0.2">
      <c r="A184" s="16" t="s">
        <v>166</v>
      </c>
      <c r="B184" s="12" t="s">
        <v>50</v>
      </c>
      <c r="C184" s="12" t="s">
        <v>13</v>
      </c>
      <c r="D184" s="12"/>
      <c r="E184" s="12" t="str">
        <f>IFERROR(VLOOKUP(A184,#REF!,2,FALSE),"")</f>
        <v/>
      </c>
      <c r="F184" s="12" t="str">
        <f>IFERROR(VLOOKUP(B184,#REF!,2,FALSE),"")</f>
        <v/>
      </c>
      <c r="G184" s="12" t="str">
        <f>IFERROR(VLOOKUP(C184,#REF!,2,FALSE),"")</f>
        <v/>
      </c>
      <c r="H184" s="2"/>
      <c r="I184" s="2"/>
      <c r="J184" s="2"/>
    </row>
    <row r="185" spans="1:10" ht="16" x14ac:dyDescent="0.2">
      <c r="A185" s="23" t="s">
        <v>232</v>
      </c>
      <c r="B185" s="15" t="s">
        <v>63</v>
      </c>
      <c r="C185" s="12" t="s">
        <v>13</v>
      </c>
      <c r="D185" s="12"/>
      <c r="E185" s="12" t="str">
        <f>IFERROR(VLOOKUP(A185,#REF!,2,FALSE),"")</f>
        <v/>
      </c>
      <c r="F185" s="12" t="str">
        <f>IFERROR(VLOOKUP(B185,#REF!,2,FALSE),"")</f>
        <v/>
      </c>
      <c r="G185" s="12" t="str">
        <f>IFERROR(VLOOKUP(C185,#REF!,2,FALSE),"")</f>
        <v/>
      </c>
      <c r="H185" s="2"/>
      <c r="I185" s="2"/>
      <c r="J185" s="2"/>
    </row>
    <row r="186" spans="1:10" ht="16" x14ac:dyDescent="0.2">
      <c r="A186" s="12" t="s">
        <v>397</v>
      </c>
      <c r="B186" s="12" t="s">
        <v>126</v>
      </c>
      <c r="C186" s="12" t="s">
        <v>15</v>
      </c>
      <c r="D186" s="12"/>
      <c r="E186" s="12" t="str">
        <f>IFERROR(VLOOKUP(#REF!,#REF!,2,FALSE),"")</f>
        <v/>
      </c>
      <c r="F186" s="12" t="str">
        <f>IFERROR(VLOOKUP(B186,#REF!,2,FALSE),"")</f>
        <v/>
      </c>
      <c r="G186" s="12" t="str">
        <f>IFERROR(VLOOKUP(C186,#REF!,2,FALSE),"")</f>
        <v/>
      </c>
      <c r="H186" s="2"/>
      <c r="I186" s="2"/>
      <c r="J186" s="2"/>
    </row>
    <row r="187" spans="1:10" ht="16" x14ac:dyDescent="0.2">
      <c r="A187" s="12" t="s">
        <v>420</v>
      </c>
      <c r="B187" s="12" t="s">
        <v>404</v>
      </c>
      <c r="C187" s="12" t="s">
        <v>14</v>
      </c>
      <c r="D187" s="12"/>
      <c r="E187" s="12" t="str">
        <f>IFERROR(VLOOKUP(A187,#REF!,2,FALSE),"")</f>
        <v/>
      </c>
      <c r="F187" s="12" t="str">
        <f>IFERROR(VLOOKUP(B187,#REF!,2,FALSE),"")</f>
        <v/>
      </c>
      <c r="G187" s="12" t="str">
        <f>IFERROR(VLOOKUP(C187,#REF!,2,FALSE),"")</f>
        <v/>
      </c>
      <c r="H187" s="2"/>
      <c r="I187" s="2"/>
      <c r="J187" s="2"/>
    </row>
    <row r="188" spans="1:10" ht="16" x14ac:dyDescent="0.2">
      <c r="A188" s="5" t="s">
        <v>234</v>
      </c>
      <c r="B188" s="12" t="s">
        <v>68</v>
      </c>
      <c r="C188" s="12" t="s">
        <v>13</v>
      </c>
      <c r="D188" s="12"/>
      <c r="E188" s="12" t="str">
        <f>IFERROR(VLOOKUP(A188,#REF!,2,FALSE),"")</f>
        <v/>
      </c>
      <c r="F188" s="12" t="str">
        <f>IFERROR(VLOOKUP(B188,#REF!,2,FALSE),"")</f>
        <v/>
      </c>
      <c r="G188" s="12" t="str">
        <f>IFERROR(VLOOKUP(C188,#REF!,2,FALSE),"")</f>
        <v/>
      </c>
      <c r="H188" s="2"/>
      <c r="I188" s="2"/>
      <c r="J188" s="2"/>
    </row>
    <row r="189" spans="1:10" ht="16" x14ac:dyDescent="0.2">
      <c r="A189" s="8" t="s">
        <v>137</v>
      </c>
      <c r="B189" s="12" t="s">
        <v>54</v>
      </c>
      <c r="C189" s="12" t="s">
        <v>15</v>
      </c>
      <c r="D189" s="12"/>
      <c r="E189" s="12" t="str">
        <f>IFERROR(VLOOKUP(A189,#REF!,2,FALSE),"")</f>
        <v/>
      </c>
      <c r="F189" s="12" t="str">
        <f>IFERROR(VLOOKUP(B189,#REF!,2,FALSE),"")</f>
        <v/>
      </c>
      <c r="G189" s="12" t="str">
        <f>IFERROR(VLOOKUP(C189,#REF!,2,FALSE),"")</f>
        <v/>
      </c>
      <c r="H189" s="2"/>
      <c r="I189" s="2"/>
      <c r="J189" s="2"/>
    </row>
    <row r="190" spans="1:10" ht="16" x14ac:dyDescent="0.2">
      <c r="A190" s="7" t="s">
        <v>137</v>
      </c>
      <c r="B190" s="12" t="s">
        <v>46</v>
      </c>
      <c r="C190" s="12" t="s">
        <v>15</v>
      </c>
      <c r="D190" s="12"/>
      <c r="E190" s="12" t="str">
        <f>IFERROR(VLOOKUP(A190,#REF!,2,FALSE),"")</f>
        <v/>
      </c>
      <c r="F190" s="12" t="str">
        <f>IFERROR(VLOOKUP(B190,#REF!,2,FALSE),"")</f>
        <v/>
      </c>
      <c r="G190" s="12" t="str">
        <f>IFERROR(VLOOKUP(C190,#REF!,2,FALSE),"")</f>
        <v/>
      </c>
      <c r="H190" s="2"/>
      <c r="I190" s="2"/>
      <c r="J190" s="2"/>
    </row>
    <row r="191" spans="1:10" ht="16" x14ac:dyDescent="0.2">
      <c r="A191" s="12" t="s">
        <v>329</v>
      </c>
      <c r="B191" s="12" t="s">
        <v>60</v>
      </c>
      <c r="C191" s="12" t="s">
        <v>13</v>
      </c>
      <c r="D191" s="12"/>
      <c r="E191" s="12" t="str">
        <f>IFERROR(VLOOKUP(A191,#REF!,2,FALSE),"")</f>
        <v/>
      </c>
      <c r="F191" s="12" t="str">
        <f>IFERROR(VLOOKUP(B191,#REF!,2,FALSE),"")</f>
        <v/>
      </c>
      <c r="G191" s="12" t="str">
        <f>IFERROR(VLOOKUP(C191,#REF!,2,FALSE),"")</f>
        <v/>
      </c>
      <c r="H191" s="2"/>
      <c r="I191" s="2"/>
      <c r="J191" s="2"/>
    </row>
    <row r="192" spans="1:10" ht="16" x14ac:dyDescent="0.2">
      <c r="A192" s="16" t="s">
        <v>238</v>
      </c>
      <c r="B192" s="12"/>
      <c r="C192" s="12"/>
      <c r="D192" s="12"/>
      <c r="E192" s="12" t="str">
        <f>IFERROR(VLOOKUP(A192,#REF!,2,FALSE),"")</f>
        <v/>
      </c>
      <c r="F192" s="12" t="str">
        <f>IFERROR(VLOOKUP(B192,#REF!,2,FALSE),"")</f>
        <v/>
      </c>
      <c r="G192" s="12" t="str">
        <f>IFERROR(VLOOKUP(C192,#REF!,2,FALSE),"")</f>
        <v/>
      </c>
      <c r="H192" s="2"/>
      <c r="I192" s="2"/>
      <c r="J192" s="2"/>
    </row>
    <row r="193" spans="1:10" ht="16" x14ac:dyDescent="0.2">
      <c r="A193" s="12" t="s">
        <v>331</v>
      </c>
      <c r="B193" s="12" t="s">
        <v>69</v>
      </c>
      <c r="C193" s="12" t="s">
        <v>13</v>
      </c>
      <c r="D193" s="12"/>
      <c r="E193" s="12" t="str">
        <f>IFERROR(VLOOKUP(A193,#REF!,2,FALSE),"")</f>
        <v/>
      </c>
      <c r="F193" s="12" t="str">
        <f>IFERROR(VLOOKUP(B193,#REF!,2,FALSE),"")</f>
        <v/>
      </c>
      <c r="G193" s="12" t="str">
        <f>IFERROR(VLOOKUP(C193,#REF!,2,FALSE),"")</f>
        <v/>
      </c>
      <c r="H193" s="2"/>
      <c r="I193" s="2"/>
      <c r="J193" s="2"/>
    </row>
    <row r="194" spans="1:10" ht="16" x14ac:dyDescent="0.2">
      <c r="A194" s="12" t="s">
        <v>331</v>
      </c>
      <c r="B194" s="12" t="s">
        <v>48</v>
      </c>
      <c r="C194" s="12" t="s">
        <v>12</v>
      </c>
      <c r="D194" s="12"/>
      <c r="E194" s="12" t="str">
        <f>IFERROR(VLOOKUP(A194,#REF!,2,FALSE),"")</f>
        <v/>
      </c>
      <c r="F194" s="12" t="str">
        <f>IFERROR(VLOOKUP(B194,#REF!,2,FALSE),"")</f>
        <v/>
      </c>
      <c r="G194" s="12" t="str">
        <f>IFERROR(VLOOKUP(C194,#REF!,2,FALSE),"")</f>
        <v/>
      </c>
      <c r="H194" s="2"/>
      <c r="I194" s="2"/>
      <c r="J194" s="2"/>
    </row>
    <row r="195" spans="1:10" ht="16" x14ac:dyDescent="0.2">
      <c r="A195" s="12"/>
      <c r="B195" s="12"/>
      <c r="C195" s="12"/>
      <c r="D195" s="12"/>
      <c r="E195" s="12" t="str">
        <f>IFERROR(VLOOKUP(A195,#REF!,2,FALSE),"")</f>
        <v/>
      </c>
      <c r="F195" s="12" t="str">
        <f>IFERROR(VLOOKUP(B195,#REF!,2,FALSE),"")</f>
        <v/>
      </c>
      <c r="G195" s="12" t="str">
        <f>IFERROR(VLOOKUP(C195,#REF!,2,FALSE),"")</f>
        <v/>
      </c>
      <c r="H195" s="2"/>
      <c r="I195" s="2"/>
      <c r="J195" s="2"/>
    </row>
    <row r="196" spans="1:10" ht="16" x14ac:dyDescent="0.2">
      <c r="A196" s="12"/>
      <c r="B196" s="12"/>
      <c r="C196" s="12"/>
      <c r="D196" s="12"/>
      <c r="E196" s="12" t="str">
        <f>IFERROR(VLOOKUP(A196,#REF!,2,FALSE),"")</f>
        <v/>
      </c>
      <c r="F196" s="12" t="str">
        <f>IFERROR(VLOOKUP(B196,#REF!,2,FALSE),"")</f>
        <v/>
      </c>
      <c r="G196" s="12" t="str">
        <f>IFERROR(VLOOKUP(C196,#REF!,2,FALSE),"")</f>
        <v/>
      </c>
      <c r="H196" s="2"/>
      <c r="I196" s="2"/>
      <c r="J196" s="2"/>
    </row>
    <row r="197" spans="1:10" ht="16" x14ac:dyDescent="0.2">
      <c r="A197" s="12"/>
      <c r="B197" s="12"/>
      <c r="C197" s="12"/>
      <c r="D197" s="12"/>
      <c r="E197" s="12" t="str">
        <f>IFERROR(VLOOKUP(A197,#REF!,2,FALSE),"")</f>
        <v/>
      </c>
      <c r="F197" s="12" t="str">
        <f>IFERROR(VLOOKUP(B197,#REF!,2,FALSE),"")</f>
        <v/>
      </c>
      <c r="G197" s="12" t="str">
        <f>IFERROR(VLOOKUP(C197,#REF!,2,FALSE),"")</f>
        <v/>
      </c>
      <c r="H197" s="2"/>
      <c r="I197" s="2"/>
      <c r="J197" s="2"/>
    </row>
    <row r="198" spans="1:10" ht="16" x14ac:dyDescent="0.2">
      <c r="A198" s="12"/>
      <c r="B198" s="12"/>
      <c r="C198" s="12"/>
      <c r="D198" s="12"/>
      <c r="E198" s="12" t="str">
        <f>IFERROR(VLOOKUP(A198,#REF!,2,FALSE),"")</f>
        <v/>
      </c>
      <c r="F198" s="12" t="str">
        <f>IFERROR(VLOOKUP(B198,#REF!,2,FALSE),"")</f>
        <v/>
      </c>
      <c r="G198" s="12" t="str">
        <f>IFERROR(VLOOKUP(C198,#REF!,2,FALSE),"")</f>
        <v/>
      </c>
      <c r="H198" s="2"/>
      <c r="I198" s="2"/>
      <c r="J198" s="2"/>
    </row>
    <row r="199" spans="1:10" ht="16" x14ac:dyDescent="0.2">
      <c r="A199" s="12"/>
      <c r="B199" s="12"/>
      <c r="C199" s="12"/>
      <c r="D199" s="12"/>
      <c r="E199" s="12" t="str">
        <f>IFERROR(VLOOKUP(A199,#REF!,2,FALSE),"")</f>
        <v/>
      </c>
      <c r="F199" s="12" t="str">
        <f>IFERROR(VLOOKUP(B199,#REF!,2,FALSE),"")</f>
        <v/>
      </c>
      <c r="G199" s="12" t="str">
        <f>IFERROR(VLOOKUP(C199,#REF!,2,FALSE),"")</f>
        <v/>
      </c>
      <c r="H199" s="2"/>
      <c r="I199" s="2"/>
      <c r="J199" s="2"/>
    </row>
    <row r="200" spans="1:10" ht="16" x14ac:dyDescent="0.2">
      <c r="A200" s="12"/>
      <c r="B200" s="12"/>
      <c r="C200" s="12"/>
      <c r="D200" s="12"/>
      <c r="E200" s="12" t="str">
        <f>IFERROR(VLOOKUP(A200,#REF!,2,FALSE),"")</f>
        <v/>
      </c>
      <c r="F200" s="12" t="str">
        <f>IFERROR(VLOOKUP(B200,#REF!,2,FALSE),"")</f>
        <v/>
      </c>
      <c r="G200" s="12" t="str">
        <f>IFERROR(VLOOKUP(C200,#REF!,2,FALSE),"")</f>
        <v/>
      </c>
      <c r="H200" s="2"/>
      <c r="I200" s="2"/>
      <c r="J200" s="2"/>
    </row>
    <row r="201" spans="1:10" ht="16" x14ac:dyDescent="0.2">
      <c r="A201" s="12"/>
      <c r="B201" s="12"/>
      <c r="C201" s="12"/>
      <c r="D201" s="12"/>
      <c r="E201" s="12" t="str">
        <f>IFERROR(VLOOKUP(A201,#REF!,2,FALSE),"")</f>
        <v/>
      </c>
      <c r="F201" s="12" t="str">
        <f>IFERROR(VLOOKUP(B201,#REF!,2,FALSE),"")</f>
        <v/>
      </c>
      <c r="G201" s="12" t="str">
        <f>IFERROR(VLOOKUP(C201,#REF!,2,FALSE),"")</f>
        <v/>
      </c>
      <c r="H201" s="2"/>
      <c r="I201" s="2"/>
      <c r="J201" s="2"/>
    </row>
    <row r="202" spans="1:10" ht="16" x14ac:dyDescent="0.2">
      <c r="A202" s="12"/>
      <c r="B202" s="12"/>
      <c r="C202" s="12"/>
      <c r="D202" s="12"/>
      <c r="E202" s="12" t="str">
        <f>IFERROR(VLOOKUP(A202,#REF!,2,FALSE),"")</f>
        <v/>
      </c>
      <c r="F202" s="12" t="str">
        <f>IFERROR(VLOOKUP(B202,#REF!,2,FALSE),"")</f>
        <v/>
      </c>
      <c r="G202" s="12" t="str">
        <f>IFERROR(VLOOKUP(C202,#REF!,2,FALSE),"")</f>
        <v/>
      </c>
      <c r="H202" s="2"/>
      <c r="I202" s="2"/>
      <c r="J202" s="2"/>
    </row>
    <row r="203" spans="1:10" ht="16" x14ac:dyDescent="0.2">
      <c r="A203" s="12"/>
      <c r="B203" s="12"/>
      <c r="C203" s="12"/>
      <c r="D203" s="12"/>
      <c r="E203" s="12" t="str">
        <f>IFERROR(VLOOKUP(A203,#REF!,2,FALSE),"")</f>
        <v/>
      </c>
      <c r="F203" s="12" t="str">
        <f>IFERROR(VLOOKUP(B203,#REF!,2,FALSE),"")</f>
        <v/>
      </c>
      <c r="G203" s="12" t="str">
        <f>IFERROR(VLOOKUP(C203,#REF!,2,FALSE),"")</f>
        <v/>
      </c>
      <c r="H203" s="2"/>
      <c r="I203" s="2"/>
      <c r="J203" s="2"/>
    </row>
    <row r="204" spans="1:10" ht="16" x14ac:dyDescent="0.2">
      <c r="A204" s="12"/>
      <c r="B204" s="12"/>
      <c r="C204" s="12"/>
      <c r="D204" s="12"/>
      <c r="E204" s="12" t="str">
        <f>IFERROR(VLOOKUP(A204,#REF!,2,FALSE),"")</f>
        <v/>
      </c>
      <c r="F204" s="12" t="str">
        <f>IFERROR(VLOOKUP(B204,#REF!,2,FALSE),"")</f>
        <v/>
      </c>
      <c r="G204" s="12" t="str">
        <f>IFERROR(VLOOKUP(C204,#REF!,2,FALSE),"")</f>
        <v/>
      </c>
      <c r="H204" s="2"/>
      <c r="I204" s="2"/>
      <c r="J204" s="2"/>
    </row>
    <row r="205" spans="1:10" ht="16" x14ac:dyDescent="0.2">
      <c r="A205" s="12"/>
      <c r="B205" s="12"/>
      <c r="C205" s="12"/>
      <c r="D205" s="12"/>
      <c r="E205" s="12" t="str">
        <f>IFERROR(VLOOKUP(A205,#REF!,2,FALSE),"")</f>
        <v/>
      </c>
      <c r="F205" s="12" t="str">
        <f>IFERROR(VLOOKUP(B205,#REF!,2,FALSE),"")</f>
        <v/>
      </c>
      <c r="G205" s="12" t="str">
        <f>IFERROR(VLOOKUP(C205,#REF!,2,FALSE),"")</f>
        <v/>
      </c>
      <c r="H205" s="2"/>
      <c r="I205" s="2"/>
      <c r="J205" s="2"/>
    </row>
  </sheetData>
  <mergeCells count="1">
    <mergeCell ref="I2:J3"/>
  </mergeCells>
  <dataValidations count="4">
    <dataValidation type="list" allowBlank="1" sqref="A145:A147 A151:A153 A156:A160 A166:A169 A173:A205 A2:A137" xr:uid="{00000000-0002-0000-0600-000000000000}">
      <formula1>PersonNames</formula1>
    </dataValidation>
    <dataValidation type="list" allowBlank="1" sqref="B2:B14 B16 B18:B19 B70:B113 B52 B21:B38 B117:B144 B115 B54:B68 B147:B205 B40:B50" xr:uid="{00000000-0002-0000-0600-000001000000}">
      <formula1>ProjectNames</formula1>
    </dataValidation>
    <dataValidation type="list" allowBlank="1" showInputMessage="1" showErrorMessage="1" sqref="A170:A172" xr:uid="{C76466E8-6665-B24A-B96E-1B17A6A05CDB}">
      <formula1>Advisors</formula1>
    </dataValidation>
    <dataValidation type="list" allowBlank="1" showInputMessage="1" showErrorMessage="1" sqref="C2:C1048576" xr:uid="{26F3B059-0728-074E-91F0-B1781F0FA0C7}">
      <formula1>ValidRoles</formula1>
    </dataValidation>
  </dataValidations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_validation</vt:lpstr>
      <vt:lpstr>People</vt:lpstr>
      <vt:lpstr>Projects</vt:lpstr>
      <vt:lpstr>Roles</vt:lpstr>
      <vt:lpstr>Units</vt:lpstr>
      <vt:lpstr>Enrollments</vt:lpstr>
      <vt:lpstr>ProjectAssignments</vt:lpstr>
      <vt:lpstr>Enrollments!People</vt:lpstr>
      <vt:lpstr>People</vt:lpstr>
      <vt:lpstr>Enrollments!ProjectNames</vt:lpstr>
      <vt:lpstr>ProjectNames</vt:lpstr>
      <vt:lpstr>Enrollments!Units</vt:lpstr>
      <vt:lpstr>Units</vt:lpstr>
      <vt:lpstr>Enrollments!ValidRoles</vt:lpstr>
      <vt:lpstr>ValidRoles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Accuardi, Alexa</cp:lastModifiedBy>
  <dcterms:created xsi:type="dcterms:W3CDTF">2026-04-21T02:58:51Z</dcterms:created>
  <dcterms:modified xsi:type="dcterms:W3CDTF">2026-04-21T03:11:38Z</dcterms:modified>
</cp:coreProperties>
</file>